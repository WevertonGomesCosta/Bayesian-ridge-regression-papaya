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3904a132a03eb6/GitHub/Bayesian-ridge-regression-papaya/data/"/>
    </mc:Choice>
  </mc:AlternateContent>
  <xr:revisionPtr revIDLastSave="60" documentId="13_ncr:1_{9FD01266-7C60-4AB6-8242-19AA88424BB1}" xr6:coauthVersionLast="47" xr6:coauthVersionMax="47" xr10:uidLastSave="{31941C01-8A8D-4DB6-98A0-EA7C6609EE24}"/>
  <bookViews>
    <workbookView xWindow="-23148" yWindow="3708" windowWidth="23256" windowHeight="12456" activeTab="2" xr2:uid="{A5324A72-5672-4083-BB8D-46249536C53E}"/>
  </bookViews>
  <sheets>
    <sheet name="Metadados" sheetId="4" r:id="rId1"/>
    <sheet name="15_Selecionados" sheetId="6" r:id="rId2"/>
    <sheet name="Médias_IND_artigo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H2" i="6" s="1"/>
  <c r="T3" i="6" l="1"/>
  <c r="R3" i="6" s="1"/>
  <c r="T4" i="6"/>
  <c r="R4" i="6" s="1"/>
  <c r="T5" i="6"/>
  <c r="R5" i="6" s="1"/>
  <c r="T6" i="6"/>
  <c r="R6" i="6" s="1"/>
  <c r="T7" i="6"/>
  <c r="R7" i="6" s="1"/>
  <c r="T8" i="6"/>
  <c r="R8" i="6" s="1"/>
  <c r="T9" i="6"/>
  <c r="R9" i="6" s="1"/>
  <c r="T10" i="6"/>
  <c r="R10" i="6" s="1"/>
  <c r="T11" i="6"/>
  <c r="R11" i="6" s="1"/>
  <c r="T12" i="6"/>
  <c r="R12" i="6" s="1"/>
  <c r="T13" i="6"/>
  <c r="R13" i="6" s="1"/>
  <c r="T14" i="6"/>
  <c r="R14" i="6" s="1"/>
  <c r="T15" i="6"/>
  <c r="R15" i="6" s="1"/>
  <c r="T16" i="6"/>
  <c r="R16" i="6" s="1"/>
  <c r="T17" i="6"/>
  <c r="R17" i="6" s="1"/>
  <c r="T18" i="6"/>
  <c r="R18" i="6" s="1"/>
  <c r="T19" i="6"/>
  <c r="R19" i="6" s="1"/>
  <c r="T20" i="6"/>
  <c r="R20" i="6" s="1"/>
  <c r="T21" i="6"/>
  <c r="R21" i="6" s="1"/>
  <c r="T22" i="6"/>
  <c r="R22" i="6" s="1"/>
  <c r="T23" i="6"/>
  <c r="R23" i="6" s="1"/>
  <c r="T24" i="6"/>
  <c r="R24" i="6" s="1"/>
  <c r="T25" i="6"/>
  <c r="R25" i="6" s="1"/>
  <c r="T26" i="6"/>
  <c r="R26" i="6" s="1"/>
  <c r="T27" i="6"/>
  <c r="R27" i="6" s="1"/>
  <c r="T28" i="6"/>
  <c r="R28" i="6" s="1"/>
  <c r="T29" i="6"/>
  <c r="R29" i="6" s="1"/>
  <c r="T30" i="6"/>
  <c r="R30" i="6" s="1"/>
  <c r="T31" i="6"/>
  <c r="R31" i="6" s="1"/>
  <c r="T32" i="6"/>
  <c r="R32" i="6" s="1"/>
  <c r="T33" i="6"/>
  <c r="R33" i="6" s="1"/>
  <c r="T34" i="6"/>
  <c r="R34" i="6" s="1"/>
  <c r="T35" i="6"/>
  <c r="R35" i="6" s="1"/>
  <c r="T36" i="6"/>
  <c r="R36" i="6" s="1"/>
  <c r="T37" i="6"/>
  <c r="R37" i="6" s="1"/>
  <c r="T38" i="6"/>
  <c r="R38" i="6" s="1"/>
  <c r="T39" i="6"/>
  <c r="R39" i="6" s="1"/>
  <c r="T40" i="6"/>
  <c r="R40" i="6" s="1"/>
  <c r="T41" i="6"/>
  <c r="R41" i="6" s="1"/>
  <c r="T42" i="6"/>
  <c r="R42" i="6" s="1"/>
  <c r="T43" i="6"/>
  <c r="R43" i="6" s="1"/>
  <c r="T44" i="6"/>
  <c r="R44" i="6" s="1"/>
  <c r="T45" i="6"/>
  <c r="R45" i="6" s="1"/>
  <c r="T46" i="6"/>
  <c r="R46" i="6" s="1"/>
  <c r="T47" i="6"/>
  <c r="R47" i="6" s="1"/>
  <c r="T48" i="6"/>
  <c r="R48" i="6" s="1"/>
  <c r="T49" i="6"/>
  <c r="R49" i="6" s="1"/>
  <c r="T50" i="6"/>
  <c r="R50" i="6" s="1"/>
  <c r="T51" i="6"/>
  <c r="R51" i="6" s="1"/>
  <c r="T52" i="6"/>
  <c r="R52" i="6" s="1"/>
  <c r="T53" i="6"/>
  <c r="R53" i="6" s="1"/>
  <c r="T54" i="6"/>
  <c r="R54" i="6" s="1"/>
  <c r="T55" i="6"/>
  <c r="R55" i="6" s="1"/>
  <c r="T56" i="6"/>
  <c r="R56" i="6" s="1"/>
  <c r="T57" i="6"/>
  <c r="R57" i="6" s="1"/>
  <c r="T58" i="6"/>
  <c r="R58" i="6" s="1"/>
  <c r="T59" i="6"/>
  <c r="R59" i="6" s="1"/>
  <c r="T60" i="6"/>
  <c r="R60" i="6" s="1"/>
  <c r="T61" i="6"/>
  <c r="R61" i="6" s="1"/>
  <c r="T62" i="6"/>
  <c r="R62" i="6" s="1"/>
  <c r="T63" i="6"/>
  <c r="R63" i="6" s="1"/>
  <c r="T64" i="6"/>
  <c r="R64" i="6" s="1"/>
  <c r="T65" i="6"/>
  <c r="R65" i="6" s="1"/>
  <c r="T66" i="6"/>
  <c r="R66" i="6" s="1"/>
  <c r="T67" i="6"/>
  <c r="R67" i="6" s="1"/>
  <c r="T68" i="6"/>
  <c r="R68" i="6" s="1"/>
  <c r="T69" i="6"/>
  <c r="R69" i="6" s="1"/>
  <c r="T70" i="6"/>
  <c r="R70" i="6" s="1"/>
  <c r="T71" i="6"/>
  <c r="R71" i="6" s="1"/>
  <c r="T72" i="6"/>
  <c r="R72" i="6" s="1"/>
  <c r="T73" i="6"/>
  <c r="R73" i="6" s="1"/>
  <c r="T74" i="6"/>
  <c r="R74" i="6" s="1"/>
  <c r="T75" i="6"/>
  <c r="R75" i="6" s="1"/>
  <c r="T76" i="6"/>
  <c r="R76" i="6" s="1"/>
  <c r="T77" i="6"/>
  <c r="R77" i="6" s="1"/>
  <c r="T78" i="6"/>
  <c r="R78" i="6" s="1"/>
  <c r="T79" i="6"/>
  <c r="R79" i="6" s="1"/>
  <c r="T80" i="6"/>
  <c r="R80" i="6" s="1"/>
  <c r="T81" i="6"/>
  <c r="R81" i="6" s="1"/>
  <c r="T82" i="6"/>
  <c r="R82" i="6" s="1"/>
  <c r="T83" i="6"/>
  <c r="R83" i="6" s="1"/>
  <c r="T84" i="6"/>
  <c r="R84" i="6" s="1"/>
  <c r="T85" i="6"/>
  <c r="R85" i="6" s="1"/>
  <c r="T86" i="6"/>
  <c r="R86" i="6" s="1"/>
  <c r="T87" i="6"/>
  <c r="R87" i="6" s="1"/>
  <c r="T88" i="6"/>
  <c r="R88" i="6" s="1"/>
  <c r="T89" i="6"/>
  <c r="R89" i="6" s="1"/>
  <c r="T90" i="6"/>
  <c r="R90" i="6" s="1"/>
  <c r="T91" i="6"/>
  <c r="R91" i="6" s="1"/>
  <c r="T92" i="6"/>
  <c r="R92" i="6" s="1"/>
  <c r="T93" i="6"/>
  <c r="R93" i="6" s="1"/>
  <c r="T94" i="6"/>
  <c r="R94" i="6" s="1"/>
  <c r="T95" i="6"/>
  <c r="R95" i="6" s="1"/>
  <c r="T96" i="6"/>
  <c r="R96" i="6" s="1"/>
  <c r="T97" i="6"/>
  <c r="R97" i="6" s="1"/>
  <c r="T98" i="6"/>
  <c r="R98" i="6" s="1"/>
  <c r="T99" i="6"/>
  <c r="R99" i="6" s="1"/>
  <c r="T100" i="6"/>
  <c r="R100" i="6" s="1"/>
  <c r="T101" i="6"/>
  <c r="R101" i="6" s="1"/>
  <c r="T102" i="6"/>
  <c r="R102" i="6" s="1"/>
  <c r="T103" i="6"/>
  <c r="R103" i="6" s="1"/>
  <c r="T104" i="6"/>
  <c r="R104" i="6" s="1"/>
  <c r="T105" i="6"/>
  <c r="R105" i="6" s="1"/>
  <c r="T106" i="6"/>
  <c r="R106" i="6" s="1"/>
  <c r="T107" i="6"/>
  <c r="R107" i="6" s="1"/>
  <c r="T108" i="6"/>
  <c r="R108" i="6" s="1"/>
  <c r="T109" i="6"/>
  <c r="R109" i="6" s="1"/>
  <c r="T110" i="6"/>
  <c r="R110" i="6" s="1"/>
  <c r="T111" i="6"/>
  <c r="R111" i="6" s="1"/>
  <c r="T112" i="6"/>
  <c r="R112" i="6" s="1"/>
  <c r="T113" i="6"/>
  <c r="R113" i="6" s="1"/>
  <c r="T114" i="6"/>
  <c r="R114" i="6" s="1"/>
  <c r="T115" i="6"/>
  <c r="R115" i="6" s="1"/>
  <c r="T116" i="6"/>
  <c r="R116" i="6" s="1"/>
  <c r="T117" i="6"/>
  <c r="R117" i="6" s="1"/>
  <c r="T118" i="6"/>
  <c r="R118" i="6" s="1"/>
  <c r="T119" i="6"/>
  <c r="R119" i="6" s="1"/>
  <c r="T120" i="6"/>
  <c r="R120" i="6" s="1"/>
  <c r="T121" i="6"/>
  <c r="R121" i="6" s="1"/>
  <c r="T122" i="6"/>
  <c r="R122" i="6" s="1"/>
  <c r="T123" i="6"/>
  <c r="R123" i="6" s="1"/>
  <c r="T124" i="6"/>
  <c r="R124" i="6" s="1"/>
  <c r="T125" i="6"/>
  <c r="R125" i="6" s="1"/>
  <c r="T126" i="6"/>
  <c r="R126" i="6" s="1"/>
  <c r="T127" i="6"/>
  <c r="R127" i="6" s="1"/>
  <c r="T128" i="6"/>
  <c r="R128" i="6" s="1"/>
  <c r="T129" i="6"/>
  <c r="R129" i="6" s="1"/>
  <c r="T130" i="6"/>
  <c r="R130" i="6" s="1"/>
  <c r="T131" i="6"/>
  <c r="R131" i="6" s="1"/>
  <c r="T132" i="6"/>
  <c r="R132" i="6" s="1"/>
  <c r="T133" i="6"/>
  <c r="R133" i="6" s="1"/>
  <c r="T134" i="6"/>
  <c r="R134" i="6" s="1"/>
  <c r="T135" i="6"/>
  <c r="R135" i="6" s="1"/>
  <c r="T136" i="6"/>
  <c r="R136" i="6" s="1"/>
  <c r="T137" i="6"/>
  <c r="R137" i="6" s="1"/>
  <c r="T138" i="6"/>
  <c r="R138" i="6" s="1"/>
  <c r="T139" i="6"/>
  <c r="R139" i="6" s="1"/>
  <c r="T140" i="6"/>
  <c r="R140" i="6" s="1"/>
  <c r="T141" i="6"/>
  <c r="R141" i="6" s="1"/>
  <c r="T142" i="6"/>
  <c r="R142" i="6" s="1"/>
  <c r="T143" i="6"/>
  <c r="R143" i="6" s="1"/>
  <c r="T144" i="6"/>
  <c r="R144" i="6" s="1"/>
  <c r="T145" i="6"/>
  <c r="R145" i="6" s="1"/>
  <c r="T146" i="6"/>
  <c r="R146" i="6" s="1"/>
  <c r="T147" i="6"/>
  <c r="R147" i="6" s="1"/>
  <c r="T148" i="6"/>
  <c r="R148" i="6" s="1"/>
  <c r="T149" i="6"/>
  <c r="R149" i="6" s="1"/>
  <c r="T150" i="6"/>
  <c r="R150" i="6" s="1"/>
  <c r="T151" i="6"/>
  <c r="R151" i="6" s="1"/>
  <c r="T2" i="6"/>
  <c r="R2" i="6" s="1"/>
  <c r="P19" i="6"/>
  <c r="N19" i="6" s="1"/>
  <c r="P20" i="6"/>
  <c r="N20" i="6" s="1"/>
  <c r="P21" i="6"/>
  <c r="N21" i="6" s="1"/>
  <c r="P22" i="6"/>
  <c r="N22" i="6" s="1"/>
  <c r="P23" i="6"/>
  <c r="N23" i="6" s="1"/>
  <c r="P24" i="6"/>
  <c r="N24" i="6" s="1"/>
  <c r="P25" i="6"/>
  <c r="N25" i="6" s="1"/>
  <c r="P26" i="6"/>
  <c r="N26" i="6" s="1"/>
  <c r="P27" i="6"/>
  <c r="N27" i="6" s="1"/>
  <c r="P28" i="6"/>
  <c r="N28" i="6" s="1"/>
  <c r="P29" i="6"/>
  <c r="N29" i="6" s="1"/>
  <c r="P30" i="6"/>
  <c r="N30" i="6" s="1"/>
  <c r="P31" i="6"/>
  <c r="N31" i="6" s="1"/>
  <c r="P32" i="6"/>
  <c r="N32" i="6" s="1"/>
  <c r="P33" i="6"/>
  <c r="N33" i="6" s="1"/>
  <c r="P34" i="6"/>
  <c r="N34" i="6" s="1"/>
  <c r="P35" i="6"/>
  <c r="N35" i="6" s="1"/>
  <c r="P36" i="6"/>
  <c r="N36" i="6" s="1"/>
  <c r="P37" i="6"/>
  <c r="N37" i="6" s="1"/>
  <c r="P38" i="6"/>
  <c r="N38" i="6" s="1"/>
  <c r="P39" i="6"/>
  <c r="N39" i="6" s="1"/>
  <c r="P40" i="6"/>
  <c r="N40" i="6" s="1"/>
  <c r="P41" i="6"/>
  <c r="N41" i="6" s="1"/>
  <c r="P42" i="6"/>
  <c r="N42" i="6" s="1"/>
  <c r="P43" i="6"/>
  <c r="N43" i="6" s="1"/>
  <c r="P44" i="6"/>
  <c r="N44" i="6" s="1"/>
  <c r="P45" i="6"/>
  <c r="N45" i="6" s="1"/>
  <c r="P46" i="6"/>
  <c r="N46" i="6" s="1"/>
  <c r="P47" i="6"/>
  <c r="N47" i="6" s="1"/>
  <c r="P48" i="6"/>
  <c r="N48" i="6" s="1"/>
  <c r="P49" i="6"/>
  <c r="N49" i="6" s="1"/>
  <c r="P50" i="6"/>
  <c r="N50" i="6" s="1"/>
  <c r="P51" i="6"/>
  <c r="N51" i="6" s="1"/>
  <c r="P52" i="6"/>
  <c r="N52" i="6" s="1"/>
  <c r="P53" i="6"/>
  <c r="N53" i="6" s="1"/>
  <c r="P54" i="6"/>
  <c r="N54" i="6" s="1"/>
  <c r="P55" i="6"/>
  <c r="N55" i="6" s="1"/>
  <c r="P56" i="6"/>
  <c r="N56" i="6" s="1"/>
  <c r="P57" i="6"/>
  <c r="N57" i="6" s="1"/>
  <c r="P58" i="6"/>
  <c r="N58" i="6" s="1"/>
  <c r="P59" i="6"/>
  <c r="N59" i="6" s="1"/>
  <c r="P60" i="6"/>
  <c r="N60" i="6" s="1"/>
  <c r="P61" i="6"/>
  <c r="N61" i="6" s="1"/>
  <c r="P62" i="6"/>
  <c r="N62" i="6" s="1"/>
  <c r="P63" i="6"/>
  <c r="N63" i="6" s="1"/>
  <c r="P64" i="6"/>
  <c r="N64" i="6" s="1"/>
  <c r="P65" i="6"/>
  <c r="N65" i="6" s="1"/>
  <c r="P66" i="6"/>
  <c r="N66" i="6" s="1"/>
  <c r="P67" i="6"/>
  <c r="N67" i="6" s="1"/>
  <c r="P68" i="6"/>
  <c r="N68" i="6" s="1"/>
  <c r="P69" i="6"/>
  <c r="N69" i="6" s="1"/>
  <c r="P70" i="6"/>
  <c r="N70" i="6" s="1"/>
  <c r="P71" i="6"/>
  <c r="N71" i="6" s="1"/>
  <c r="P72" i="6"/>
  <c r="N72" i="6" s="1"/>
  <c r="P73" i="6"/>
  <c r="N73" i="6" s="1"/>
  <c r="P74" i="6"/>
  <c r="N74" i="6" s="1"/>
  <c r="P75" i="6"/>
  <c r="N75" i="6" s="1"/>
  <c r="P76" i="6"/>
  <c r="N76" i="6" s="1"/>
  <c r="P77" i="6"/>
  <c r="N77" i="6" s="1"/>
  <c r="P78" i="6"/>
  <c r="N78" i="6" s="1"/>
  <c r="P79" i="6"/>
  <c r="N79" i="6" s="1"/>
  <c r="P80" i="6"/>
  <c r="N80" i="6" s="1"/>
  <c r="P81" i="6"/>
  <c r="N81" i="6" s="1"/>
  <c r="P82" i="6"/>
  <c r="N82" i="6" s="1"/>
  <c r="P83" i="6"/>
  <c r="N83" i="6" s="1"/>
  <c r="P84" i="6"/>
  <c r="N84" i="6" s="1"/>
  <c r="P85" i="6"/>
  <c r="N85" i="6" s="1"/>
  <c r="P86" i="6"/>
  <c r="N86" i="6" s="1"/>
  <c r="P87" i="6"/>
  <c r="N87" i="6" s="1"/>
  <c r="P88" i="6"/>
  <c r="N88" i="6" s="1"/>
  <c r="P89" i="6"/>
  <c r="N89" i="6" s="1"/>
  <c r="P90" i="6"/>
  <c r="N90" i="6" s="1"/>
  <c r="P91" i="6"/>
  <c r="N91" i="6" s="1"/>
  <c r="P92" i="6"/>
  <c r="N92" i="6" s="1"/>
  <c r="P93" i="6"/>
  <c r="N93" i="6" s="1"/>
  <c r="P94" i="6"/>
  <c r="N94" i="6" s="1"/>
  <c r="P95" i="6"/>
  <c r="N95" i="6" s="1"/>
  <c r="P96" i="6"/>
  <c r="N96" i="6" s="1"/>
  <c r="P97" i="6"/>
  <c r="N97" i="6" s="1"/>
  <c r="P98" i="6"/>
  <c r="N98" i="6" s="1"/>
  <c r="P99" i="6"/>
  <c r="N99" i="6" s="1"/>
  <c r="P100" i="6"/>
  <c r="N100" i="6" s="1"/>
  <c r="P101" i="6"/>
  <c r="N101" i="6" s="1"/>
  <c r="P102" i="6"/>
  <c r="N102" i="6" s="1"/>
  <c r="P103" i="6"/>
  <c r="N103" i="6" s="1"/>
  <c r="P104" i="6"/>
  <c r="N104" i="6" s="1"/>
  <c r="P105" i="6"/>
  <c r="N105" i="6" s="1"/>
  <c r="P106" i="6"/>
  <c r="N106" i="6" s="1"/>
  <c r="P107" i="6"/>
  <c r="N107" i="6" s="1"/>
  <c r="P108" i="6"/>
  <c r="N108" i="6" s="1"/>
  <c r="P109" i="6"/>
  <c r="N109" i="6" s="1"/>
  <c r="P110" i="6"/>
  <c r="N110" i="6" s="1"/>
  <c r="P111" i="6"/>
  <c r="N111" i="6" s="1"/>
  <c r="P112" i="6"/>
  <c r="N112" i="6" s="1"/>
  <c r="P113" i="6"/>
  <c r="N113" i="6" s="1"/>
  <c r="P114" i="6"/>
  <c r="N114" i="6" s="1"/>
  <c r="P115" i="6"/>
  <c r="N115" i="6" s="1"/>
  <c r="P116" i="6"/>
  <c r="N116" i="6" s="1"/>
  <c r="P117" i="6"/>
  <c r="N117" i="6" s="1"/>
  <c r="P118" i="6"/>
  <c r="N118" i="6" s="1"/>
  <c r="P119" i="6"/>
  <c r="N119" i="6" s="1"/>
  <c r="P120" i="6"/>
  <c r="N120" i="6" s="1"/>
  <c r="P121" i="6"/>
  <c r="N121" i="6" s="1"/>
  <c r="P122" i="6"/>
  <c r="N122" i="6" s="1"/>
  <c r="P123" i="6"/>
  <c r="N123" i="6" s="1"/>
  <c r="P124" i="6"/>
  <c r="N124" i="6" s="1"/>
  <c r="P125" i="6"/>
  <c r="N125" i="6" s="1"/>
  <c r="P126" i="6"/>
  <c r="N126" i="6" s="1"/>
  <c r="P127" i="6"/>
  <c r="N127" i="6" s="1"/>
  <c r="P128" i="6"/>
  <c r="N128" i="6" s="1"/>
  <c r="P129" i="6"/>
  <c r="N129" i="6" s="1"/>
  <c r="P130" i="6"/>
  <c r="N130" i="6" s="1"/>
  <c r="P131" i="6"/>
  <c r="N131" i="6" s="1"/>
  <c r="P132" i="6"/>
  <c r="N132" i="6" s="1"/>
  <c r="P133" i="6"/>
  <c r="N133" i="6" s="1"/>
  <c r="P134" i="6"/>
  <c r="N134" i="6" s="1"/>
  <c r="P135" i="6"/>
  <c r="N135" i="6" s="1"/>
  <c r="P136" i="6"/>
  <c r="N136" i="6" s="1"/>
  <c r="P137" i="6"/>
  <c r="N137" i="6" s="1"/>
  <c r="P138" i="6"/>
  <c r="N138" i="6" s="1"/>
  <c r="P139" i="6"/>
  <c r="N139" i="6" s="1"/>
  <c r="P140" i="6"/>
  <c r="N140" i="6" s="1"/>
  <c r="P141" i="6"/>
  <c r="N141" i="6" s="1"/>
  <c r="P142" i="6"/>
  <c r="N142" i="6" s="1"/>
  <c r="P143" i="6"/>
  <c r="N143" i="6" s="1"/>
  <c r="P144" i="6"/>
  <c r="N144" i="6" s="1"/>
  <c r="P145" i="6"/>
  <c r="N145" i="6" s="1"/>
  <c r="P146" i="6"/>
  <c r="N146" i="6" s="1"/>
  <c r="P147" i="6"/>
  <c r="N147" i="6" s="1"/>
  <c r="P148" i="6"/>
  <c r="N148" i="6" s="1"/>
  <c r="P149" i="6"/>
  <c r="N149" i="6" s="1"/>
  <c r="P150" i="6"/>
  <c r="N150" i="6" s="1"/>
  <c r="P151" i="6"/>
  <c r="N151" i="6" s="1"/>
  <c r="P6" i="6"/>
  <c r="N6" i="6" s="1"/>
  <c r="P7" i="6"/>
  <c r="N7" i="6" s="1"/>
  <c r="P8" i="6"/>
  <c r="N8" i="6" s="1"/>
  <c r="P9" i="6"/>
  <c r="N9" i="6" s="1"/>
  <c r="P10" i="6"/>
  <c r="N10" i="6" s="1"/>
  <c r="P11" i="6"/>
  <c r="N11" i="6" s="1"/>
  <c r="P12" i="6"/>
  <c r="N12" i="6" s="1"/>
  <c r="P13" i="6"/>
  <c r="N13" i="6" s="1"/>
  <c r="P14" i="6"/>
  <c r="N14" i="6" s="1"/>
  <c r="P15" i="6"/>
  <c r="N15" i="6" s="1"/>
  <c r="P16" i="6"/>
  <c r="N16" i="6" s="1"/>
  <c r="P17" i="6"/>
  <c r="N17" i="6" s="1"/>
  <c r="P18" i="6"/>
  <c r="N18" i="6" s="1"/>
  <c r="P3" i="6"/>
  <c r="N3" i="6" s="1"/>
  <c r="P4" i="6"/>
  <c r="N4" i="6" s="1"/>
  <c r="P5" i="6"/>
  <c r="N5" i="6" s="1"/>
  <c r="P2" i="6"/>
  <c r="N2" i="6" s="1"/>
  <c r="L14" i="6"/>
  <c r="J14" i="6" s="1"/>
  <c r="L15" i="6"/>
  <c r="J15" i="6" s="1"/>
  <c r="L16" i="6"/>
  <c r="J16" i="6" s="1"/>
  <c r="L17" i="6"/>
  <c r="J17" i="6" s="1"/>
  <c r="L18" i="6"/>
  <c r="J18" i="6" s="1"/>
  <c r="L19" i="6"/>
  <c r="J19" i="6" s="1"/>
  <c r="L20" i="6"/>
  <c r="J20" i="6" s="1"/>
  <c r="L21" i="6"/>
  <c r="J21" i="6" s="1"/>
  <c r="L22" i="6"/>
  <c r="J22" i="6" s="1"/>
  <c r="L23" i="6"/>
  <c r="J23" i="6" s="1"/>
  <c r="L24" i="6"/>
  <c r="J24" i="6" s="1"/>
  <c r="L25" i="6"/>
  <c r="J25" i="6" s="1"/>
  <c r="L26" i="6"/>
  <c r="J26" i="6" s="1"/>
  <c r="L27" i="6"/>
  <c r="J27" i="6" s="1"/>
  <c r="L28" i="6"/>
  <c r="J28" i="6" s="1"/>
  <c r="L29" i="6"/>
  <c r="J29" i="6" s="1"/>
  <c r="L30" i="6"/>
  <c r="J30" i="6" s="1"/>
  <c r="L31" i="6"/>
  <c r="J31" i="6" s="1"/>
  <c r="L32" i="6"/>
  <c r="J32" i="6" s="1"/>
  <c r="L33" i="6"/>
  <c r="J33" i="6" s="1"/>
  <c r="L34" i="6"/>
  <c r="J34" i="6" s="1"/>
  <c r="L35" i="6"/>
  <c r="J35" i="6" s="1"/>
  <c r="L36" i="6"/>
  <c r="J36" i="6" s="1"/>
  <c r="L37" i="6"/>
  <c r="J37" i="6" s="1"/>
  <c r="L38" i="6"/>
  <c r="J38" i="6" s="1"/>
  <c r="L39" i="6"/>
  <c r="J39" i="6" s="1"/>
  <c r="L40" i="6"/>
  <c r="J40" i="6" s="1"/>
  <c r="L41" i="6"/>
  <c r="J41" i="6" s="1"/>
  <c r="L42" i="6"/>
  <c r="J42" i="6" s="1"/>
  <c r="L43" i="6"/>
  <c r="J43" i="6" s="1"/>
  <c r="L44" i="6"/>
  <c r="J44" i="6" s="1"/>
  <c r="L45" i="6"/>
  <c r="J45" i="6" s="1"/>
  <c r="L46" i="6"/>
  <c r="J46" i="6" s="1"/>
  <c r="L47" i="6"/>
  <c r="J47" i="6" s="1"/>
  <c r="L48" i="6"/>
  <c r="J48" i="6" s="1"/>
  <c r="L49" i="6"/>
  <c r="J49" i="6" s="1"/>
  <c r="L50" i="6"/>
  <c r="J50" i="6" s="1"/>
  <c r="L51" i="6"/>
  <c r="J51" i="6" s="1"/>
  <c r="L52" i="6"/>
  <c r="J52" i="6" s="1"/>
  <c r="L53" i="6"/>
  <c r="J53" i="6" s="1"/>
  <c r="L54" i="6"/>
  <c r="J54" i="6" s="1"/>
  <c r="L55" i="6"/>
  <c r="J55" i="6" s="1"/>
  <c r="L56" i="6"/>
  <c r="J56" i="6" s="1"/>
  <c r="L57" i="6"/>
  <c r="J57" i="6" s="1"/>
  <c r="L58" i="6"/>
  <c r="J58" i="6" s="1"/>
  <c r="L59" i="6"/>
  <c r="J59" i="6" s="1"/>
  <c r="L60" i="6"/>
  <c r="J60" i="6" s="1"/>
  <c r="L61" i="6"/>
  <c r="J61" i="6" s="1"/>
  <c r="L62" i="6"/>
  <c r="J62" i="6" s="1"/>
  <c r="L63" i="6"/>
  <c r="J63" i="6" s="1"/>
  <c r="L64" i="6"/>
  <c r="J64" i="6" s="1"/>
  <c r="L65" i="6"/>
  <c r="J65" i="6" s="1"/>
  <c r="L66" i="6"/>
  <c r="J66" i="6" s="1"/>
  <c r="L67" i="6"/>
  <c r="J67" i="6" s="1"/>
  <c r="L68" i="6"/>
  <c r="J68" i="6" s="1"/>
  <c r="L69" i="6"/>
  <c r="J69" i="6" s="1"/>
  <c r="L70" i="6"/>
  <c r="J70" i="6" s="1"/>
  <c r="L71" i="6"/>
  <c r="J71" i="6" s="1"/>
  <c r="L72" i="6"/>
  <c r="J72" i="6" s="1"/>
  <c r="L73" i="6"/>
  <c r="J73" i="6" s="1"/>
  <c r="L74" i="6"/>
  <c r="J74" i="6" s="1"/>
  <c r="L75" i="6"/>
  <c r="J75" i="6" s="1"/>
  <c r="L76" i="6"/>
  <c r="J76" i="6" s="1"/>
  <c r="L77" i="6"/>
  <c r="J77" i="6" s="1"/>
  <c r="L78" i="6"/>
  <c r="J78" i="6" s="1"/>
  <c r="L79" i="6"/>
  <c r="J79" i="6" s="1"/>
  <c r="L80" i="6"/>
  <c r="J80" i="6" s="1"/>
  <c r="L81" i="6"/>
  <c r="J81" i="6" s="1"/>
  <c r="L82" i="6"/>
  <c r="J82" i="6" s="1"/>
  <c r="L83" i="6"/>
  <c r="J83" i="6" s="1"/>
  <c r="L84" i="6"/>
  <c r="J84" i="6" s="1"/>
  <c r="L85" i="6"/>
  <c r="J85" i="6" s="1"/>
  <c r="L86" i="6"/>
  <c r="J86" i="6" s="1"/>
  <c r="L87" i="6"/>
  <c r="J87" i="6" s="1"/>
  <c r="L88" i="6"/>
  <c r="J88" i="6" s="1"/>
  <c r="L89" i="6"/>
  <c r="J89" i="6" s="1"/>
  <c r="L90" i="6"/>
  <c r="J90" i="6" s="1"/>
  <c r="L91" i="6"/>
  <c r="J91" i="6" s="1"/>
  <c r="L92" i="6"/>
  <c r="J92" i="6" s="1"/>
  <c r="L93" i="6"/>
  <c r="J93" i="6" s="1"/>
  <c r="L94" i="6"/>
  <c r="J94" i="6" s="1"/>
  <c r="L95" i="6"/>
  <c r="J95" i="6" s="1"/>
  <c r="L96" i="6"/>
  <c r="J96" i="6" s="1"/>
  <c r="L97" i="6"/>
  <c r="J97" i="6" s="1"/>
  <c r="L98" i="6"/>
  <c r="J98" i="6" s="1"/>
  <c r="L99" i="6"/>
  <c r="J99" i="6" s="1"/>
  <c r="L100" i="6"/>
  <c r="J100" i="6" s="1"/>
  <c r="L101" i="6"/>
  <c r="J101" i="6" s="1"/>
  <c r="L102" i="6"/>
  <c r="J102" i="6" s="1"/>
  <c r="L103" i="6"/>
  <c r="J103" i="6" s="1"/>
  <c r="L104" i="6"/>
  <c r="J104" i="6" s="1"/>
  <c r="L105" i="6"/>
  <c r="J105" i="6" s="1"/>
  <c r="L106" i="6"/>
  <c r="J106" i="6" s="1"/>
  <c r="L107" i="6"/>
  <c r="J107" i="6" s="1"/>
  <c r="L108" i="6"/>
  <c r="J108" i="6" s="1"/>
  <c r="L109" i="6"/>
  <c r="J109" i="6" s="1"/>
  <c r="L110" i="6"/>
  <c r="J110" i="6" s="1"/>
  <c r="L111" i="6"/>
  <c r="J111" i="6" s="1"/>
  <c r="L112" i="6"/>
  <c r="J112" i="6" s="1"/>
  <c r="L113" i="6"/>
  <c r="J113" i="6" s="1"/>
  <c r="L114" i="6"/>
  <c r="J114" i="6" s="1"/>
  <c r="L115" i="6"/>
  <c r="J115" i="6" s="1"/>
  <c r="L116" i="6"/>
  <c r="J116" i="6" s="1"/>
  <c r="L117" i="6"/>
  <c r="J117" i="6" s="1"/>
  <c r="L118" i="6"/>
  <c r="J118" i="6" s="1"/>
  <c r="L119" i="6"/>
  <c r="J119" i="6" s="1"/>
  <c r="L120" i="6"/>
  <c r="J120" i="6" s="1"/>
  <c r="L121" i="6"/>
  <c r="J121" i="6" s="1"/>
  <c r="L122" i="6"/>
  <c r="J122" i="6" s="1"/>
  <c r="L123" i="6"/>
  <c r="J123" i="6" s="1"/>
  <c r="L124" i="6"/>
  <c r="J124" i="6" s="1"/>
  <c r="L125" i="6"/>
  <c r="J125" i="6" s="1"/>
  <c r="L126" i="6"/>
  <c r="J126" i="6" s="1"/>
  <c r="L127" i="6"/>
  <c r="J127" i="6" s="1"/>
  <c r="L128" i="6"/>
  <c r="J128" i="6" s="1"/>
  <c r="L129" i="6"/>
  <c r="J129" i="6" s="1"/>
  <c r="L130" i="6"/>
  <c r="J130" i="6" s="1"/>
  <c r="L131" i="6"/>
  <c r="J131" i="6" s="1"/>
  <c r="L132" i="6"/>
  <c r="J132" i="6" s="1"/>
  <c r="L133" i="6"/>
  <c r="J133" i="6" s="1"/>
  <c r="L134" i="6"/>
  <c r="J134" i="6" s="1"/>
  <c r="L135" i="6"/>
  <c r="J135" i="6" s="1"/>
  <c r="L136" i="6"/>
  <c r="J136" i="6" s="1"/>
  <c r="L137" i="6"/>
  <c r="J137" i="6" s="1"/>
  <c r="L138" i="6"/>
  <c r="J138" i="6" s="1"/>
  <c r="L139" i="6"/>
  <c r="J139" i="6" s="1"/>
  <c r="L140" i="6"/>
  <c r="J140" i="6" s="1"/>
  <c r="L141" i="6"/>
  <c r="J141" i="6" s="1"/>
  <c r="L142" i="6"/>
  <c r="J142" i="6" s="1"/>
  <c r="L143" i="6"/>
  <c r="J143" i="6" s="1"/>
  <c r="L144" i="6"/>
  <c r="J144" i="6" s="1"/>
  <c r="L145" i="6"/>
  <c r="J145" i="6" s="1"/>
  <c r="L146" i="6"/>
  <c r="J146" i="6" s="1"/>
  <c r="L147" i="6"/>
  <c r="J147" i="6" s="1"/>
  <c r="L148" i="6"/>
  <c r="J148" i="6" s="1"/>
  <c r="L149" i="6"/>
  <c r="J149" i="6" s="1"/>
  <c r="L150" i="6"/>
  <c r="J150" i="6" s="1"/>
  <c r="L151" i="6"/>
  <c r="J151" i="6" s="1"/>
  <c r="L5" i="6"/>
  <c r="J5" i="6" s="1"/>
  <c r="L6" i="6"/>
  <c r="J6" i="6" s="1"/>
  <c r="L7" i="6"/>
  <c r="J7" i="6" s="1"/>
  <c r="L8" i="6"/>
  <c r="J8" i="6" s="1"/>
  <c r="L9" i="6"/>
  <c r="J9" i="6" s="1"/>
  <c r="L10" i="6"/>
  <c r="J10" i="6" s="1"/>
  <c r="L11" i="6"/>
  <c r="J11" i="6" s="1"/>
  <c r="L12" i="6"/>
  <c r="J12" i="6" s="1"/>
  <c r="L13" i="6"/>
  <c r="J13" i="6" s="1"/>
  <c r="L4" i="6"/>
  <c r="J4" i="6" s="1"/>
  <c r="K3" i="6"/>
  <c r="L3" i="6" s="1"/>
  <c r="J3" i="6" s="1"/>
  <c r="K2" i="6"/>
  <c r="L2" i="6" s="1"/>
  <c r="J2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7" i="6"/>
  <c r="H17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</calcChain>
</file>

<file path=xl/sharedStrings.xml><?xml version="1.0" encoding="utf-8"?>
<sst xmlns="http://schemas.openxmlformats.org/spreadsheetml/2006/main" count="54" uniqueCount="46">
  <si>
    <t>Prod Média Comer</t>
  </si>
  <si>
    <t>Nº Fru Comer</t>
  </si>
  <si>
    <t>Nº Fru Bana</t>
  </si>
  <si>
    <t>Nº Fru Carp</t>
  </si>
  <si>
    <t xml:space="preserve">Nº Frut Pent </t>
  </si>
  <si>
    <t>Bloco</t>
  </si>
  <si>
    <t>Familia</t>
  </si>
  <si>
    <t>Individ</t>
  </si>
  <si>
    <t xml:space="preserve">Parcela </t>
  </si>
  <si>
    <t>Código Mol</t>
  </si>
  <si>
    <t>144B</t>
  </si>
  <si>
    <t>CF</t>
  </si>
  <si>
    <t>DF</t>
  </si>
  <si>
    <t>DCI</t>
  </si>
  <si>
    <t>EP</t>
  </si>
  <si>
    <t>FFC</t>
  </si>
  <si>
    <t>FFP</t>
  </si>
  <si>
    <t>COLORp1</t>
  </si>
  <si>
    <t>COLORp2</t>
  </si>
  <si>
    <t>COLORp3</t>
  </si>
  <si>
    <t>COLORb1</t>
  </si>
  <si>
    <t>COLORb2</t>
  </si>
  <si>
    <t>COLORb3</t>
  </si>
  <si>
    <t>SS</t>
  </si>
  <si>
    <t>AT</t>
  </si>
  <si>
    <t>RATIO</t>
  </si>
  <si>
    <t>Prod Média BANA (kg)</t>
  </si>
  <si>
    <t>Prod Média CARP (kg)</t>
  </si>
  <si>
    <t>Prod Média PENT (kg)</t>
  </si>
  <si>
    <t>MM BANA (g)</t>
  </si>
  <si>
    <t>MM BANA (kg)</t>
  </si>
  <si>
    <t>MM Comer (g)</t>
  </si>
  <si>
    <t>MM Comer (kg)</t>
  </si>
  <si>
    <t>MM CARP (g)</t>
  </si>
  <si>
    <t>MM CARP (kg)</t>
  </si>
  <si>
    <t>MM PENT (kg)</t>
  </si>
  <si>
    <t>MM PENT (g)</t>
  </si>
  <si>
    <t>BL</t>
  </si>
  <si>
    <t>FAM</t>
  </si>
  <si>
    <t>0.17</t>
  </si>
  <si>
    <t>0.16</t>
  </si>
  <si>
    <t>0.15</t>
  </si>
  <si>
    <t>IND</t>
  </si>
  <si>
    <t>MMCOM</t>
  </si>
  <si>
    <t>PRODCOM</t>
  </si>
  <si>
    <t>PRODEF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</si>
</sst>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350520</xdr:colOff>
      <xdr:row>27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AEF4AD-D222-4A03-9241-2EBFBDFFDCB8}"/>
            </a:ext>
          </a:extLst>
        </xdr:cNvPr>
        <xdr:cNvSpPr txBox="1"/>
      </xdr:nvSpPr>
      <xdr:spPr>
        <a:xfrm>
          <a:off x="0" y="0"/>
          <a:ext cx="9494520" cy="5013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latin typeface="+mn-lt"/>
            </a:rPr>
            <a:t>A avaliação das características relacionadas à</a:t>
          </a:r>
          <a:r>
            <a:rPr lang="pt-BR" sz="1200" baseline="0">
              <a:latin typeface="+mn-lt"/>
            </a:rPr>
            <a:t> média da PRODUÇÃO</a:t>
          </a:r>
          <a:r>
            <a:rPr lang="pt-BR" sz="1200">
              <a:latin typeface="+mn-lt"/>
            </a:rPr>
            <a:t> (número de frutos com maior valor comercial,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frutos bananoides, carpeloides e pentândricos)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latin typeface="+mn-lt"/>
            </a:rPr>
            <a:t>massa média de frutos (com formato comercial,</a:t>
          </a:r>
          <a:r>
            <a:rPr lang="pt-BR" sz="1200" baseline="0">
              <a:latin typeface="+mn-lt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frutos bananoides, carpeloides, pentândricos </a:t>
          </a:r>
          <a:r>
            <a:rPr lang="pt-BR" sz="1200">
              <a:latin typeface="+mn-lt"/>
            </a:rPr>
            <a:t>e produção de frutos com valor comercial) foi realizada ao longo de duas safras, iniciando-se a partir da colheita (junho de 2024) até dez de 2025.</a:t>
          </a:r>
        </a:p>
        <a:p>
          <a:endParaRPr lang="pt-BR" sz="1200">
            <a:latin typeface="+mn-lt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MMCOM=massa de frutos comerciais (em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kg)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PRODCOM=Produção de frutos comerciais (em kg)</a:t>
          </a:r>
        </a:p>
        <a:p>
          <a:pPr eaLnBrk="1" fontAlgn="auto" latinLnBrk="0" hangingPunct="1"/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PRODEF=produção de frutos defeituosos (em kg) (somatório de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PRODB= Produção de frutos bananoides (defeito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1) + PRODC=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Produção de frutos carpeloides (defeito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2) + PRODP=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Produção de frutos pentândrico (defeito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3))</a:t>
          </a:r>
          <a:endParaRPr lang="pt-BR" sz="1200">
            <a:effectLst/>
          </a:endParaRPr>
        </a:p>
        <a:p>
          <a:endParaRPr lang="pt-BR" sz="1200">
            <a:latin typeface="+mn-lt"/>
          </a:endParaRPr>
        </a:p>
        <a:p>
          <a:r>
            <a:rPr lang="pt-BR" sz="1200">
              <a:latin typeface="+mn-lt"/>
            </a:rPr>
            <a:t>Para as características de QUALIDADE de frutos, foram analisados CINCO FRUTOS POR PLANTA SELECIONADA (Mulamba &amp; Mock):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comprimento do fruto (CF) expressa em cm;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diâmetro do fruto (DF) expressa em cm;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diâmetro da cavidade central do fruto (DCI) expressa em cm;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espessura média da polpa do fruto (EP), expressa em cm;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firmeza interna da polpa (FFP), expressa em Newton,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firmeza externa do fruto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(casca)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(FFC), expressa em Newton;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cor da polpa do fruto, utilizando-se o colorímetro CR-400 (Konica Minolta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®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expressa em parâmetros da escala CIE (</a:t>
          </a:r>
          <a:r>
            <a:rPr lang="pt-BR" sz="12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Commision Internationale de Eclairage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L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(ColorL), a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(Colora), b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(Colorb), obtida pela média da leitura dos parâmetros no ápice e na base do fruto, em que o parâmetro L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 luminosidade, já os parâmetros a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b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(coordenadas de cromaticidade) indicam as direções das cores onde +a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 cor vermelha, -a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verde e +b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amarela e –b</a:t>
          </a:r>
          <a:r>
            <a:rPr lang="pt-BR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azul, respectivamente;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acidez total titulável (% de ácido cítrico), obtido por titulação com NaOH 0,1 M (AT);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9) sólidos solúveis totais (SS), medido em ºBrix, e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10) ratio, equivalente a relação entre sólidos solúveis e acidez total titulável</a:t>
          </a: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586740</xdr:colOff>
      <xdr:row>0</xdr:row>
      <xdr:rowOff>53340</xdr:rowOff>
    </xdr:from>
    <xdr:to>
      <xdr:col>22</xdr:col>
      <xdr:colOff>281940</xdr:colOff>
      <xdr:row>38</xdr:row>
      <xdr:rowOff>53340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C1CBF9E-0087-412A-9B40-6CBB895C6DE4}"/>
            </a:ext>
          </a:extLst>
        </xdr:cNvPr>
        <xdr:cNvSpPr txBox="1"/>
      </xdr:nvSpPr>
      <xdr:spPr>
        <a:xfrm>
          <a:off x="8587740" y="53340"/>
          <a:ext cx="5181600" cy="6949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PRODEF=produção de frutos defeituosos (em kg) (somatório de </a:t>
          </a:r>
          <a:r>
            <a:rPr lang="pt-BR" sz="1100"/>
            <a:t>PRODB= Produção de frutos bananoides (defeito</a:t>
          </a:r>
          <a:r>
            <a:rPr lang="pt-BR" sz="1100" baseline="0"/>
            <a:t> 1) + PRODC=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Produção de frutos carpeloides (defeito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2) +</a:t>
          </a: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PRODP=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Produção de frutos pentândrico (defeito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3))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IND=Indivíduo (o nº não é sequencial, mas está de acordo com o código da molecular)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BL=bloco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FAM=família. São 10 famílias segregantes: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FAM 1 -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Calimosa x Rubi</a:t>
          </a:r>
          <a:r>
            <a:rPr lang="pt-BR"/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Incaper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511</a:t>
          </a:r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FAM 2 -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Calimosa x Tainung</a:t>
          </a:r>
          <a:r>
            <a:rPr lang="pt-BR"/>
            <a:t> 01</a:t>
          </a:r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FAM 3 - Calimosa x Bela Nova</a:t>
          </a:r>
          <a:r>
            <a:rPr lang="pt-BR"/>
            <a:t> </a:t>
          </a:r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FAM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4 -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Calimosa x T2</a:t>
          </a:r>
          <a:r>
            <a:rPr lang="pt-BR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	FAM 5 - T2 x Rubi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Incaper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511</a:t>
          </a:r>
          <a:endParaRPr lang="pt-BR" sz="1100"/>
        </a:p>
        <a:p>
          <a:r>
            <a:rPr lang="pt-BR" sz="1100"/>
            <a:t>	FAM 6 - T2 x Tainung 01</a:t>
          </a:r>
        </a:p>
        <a:p>
          <a:r>
            <a:rPr lang="pt-BR" sz="1100"/>
            <a:t>	FAM 7 - T2 x Bela Nova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	FAM 8 - Bela Nova x Rubi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Incaper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511</a:t>
          </a:r>
          <a:endParaRPr lang="pt-BR" sz="1100"/>
        </a:p>
        <a:p>
          <a:r>
            <a:rPr lang="pt-BR" sz="1100"/>
            <a:t>	FAM 9 - Bela Nova x Tainung 01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	FAM 10 - Tainung 01 x Rubi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Incaper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511</a:t>
          </a:r>
          <a:endParaRPr lang="pt-BR" sz="1100"/>
        </a:p>
        <a:p>
          <a:endParaRPr lang="pt-BR" sz="1100"/>
        </a:p>
        <a:p>
          <a:r>
            <a:rPr lang="pt-BR" sz="1100"/>
            <a:t>MMCOM=massa de frutos comerciais (ou é comercial ou é defeituoso)</a:t>
          </a:r>
        </a:p>
        <a:p>
          <a:endParaRPr lang="pt-BR" sz="1100"/>
        </a:p>
        <a:p>
          <a:r>
            <a:rPr lang="pt-BR" sz="1100"/>
            <a:t>PRODCOM=Produção de frutos comerciais (kg)</a:t>
          </a:r>
        </a:p>
        <a:p>
          <a:endParaRPr lang="pt-BR" sz="1100"/>
        </a:p>
        <a:p>
          <a:r>
            <a:rPr lang="pt-BR" sz="1100"/>
            <a:t>CF=COMPRIMENTO</a:t>
          </a:r>
          <a:r>
            <a:rPr lang="pt-BR" sz="1100" baseline="0"/>
            <a:t> DE FRUTO</a:t>
          </a:r>
        </a:p>
        <a:p>
          <a:endParaRPr lang="pt-BR" sz="1100" baseline="0"/>
        </a:p>
        <a:p>
          <a:r>
            <a:rPr lang="pt-BR" sz="1100" baseline="0"/>
            <a:t>DF= DIÂMETRO DE FRUTO</a:t>
          </a:r>
        </a:p>
        <a:p>
          <a:endParaRPr lang="pt-BR" sz="1100" baseline="0"/>
        </a:p>
        <a:p>
          <a:r>
            <a:rPr lang="pt-BR" sz="1100" baseline="0"/>
            <a:t>DCI=DIÂMETRO DA CAVIDADE INTERNA</a:t>
          </a:r>
        </a:p>
        <a:p>
          <a:endParaRPr lang="pt-BR" sz="1100" baseline="0"/>
        </a:p>
        <a:p>
          <a:r>
            <a:rPr lang="pt-BR" sz="1100" baseline="0"/>
            <a:t>EP=ESPESSURA DE POLPA</a:t>
          </a:r>
        </a:p>
        <a:p>
          <a:endParaRPr lang="pt-BR" sz="1100" baseline="0"/>
        </a:p>
        <a:p>
          <a:r>
            <a:rPr lang="pt-BR" sz="1100" baseline="0"/>
            <a:t>FFC=FIRMEZA DE FRUTO (CASCA)</a:t>
          </a:r>
        </a:p>
        <a:p>
          <a:endParaRPr lang="pt-BR" sz="1100" baseline="0"/>
        </a:p>
        <a:p>
          <a:r>
            <a:rPr lang="pt-BR" sz="1100" baseline="0"/>
            <a:t>FFP=FIRMEZA DE POLPA</a:t>
          </a:r>
        </a:p>
        <a:p>
          <a:endParaRPr lang="pt-BR" sz="1100" baseline="0"/>
        </a:p>
        <a:p>
          <a:r>
            <a:rPr lang="pt-BR" sz="1100" baseline="0"/>
            <a:t>SS=SÓLIDOS SOLÚVEIS</a:t>
          </a:r>
        </a:p>
        <a:p>
          <a:endParaRPr lang="pt-BR" sz="1100" baseline="0"/>
        </a:p>
        <a:p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3448-F94E-4AFA-98AA-57B3D8E8E122}">
  <dimension ref="A1"/>
  <sheetViews>
    <sheetView workbookViewId="0">
      <selection activeCell="R16" sqref="R1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B596-1DA6-4665-AFC6-0635E255A783}">
  <dimension ref="A1:BD601"/>
  <sheetViews>
    <sheetView topLeftCell="B1" workbookViewId="0">
      <pane ySplit="1" topLeftCell="A2" activePane="bottomLeft" state="frozen"/>
      <selection activeCell="B1" sqref="B1"/>
      <selection pane="bottomLeft" activeCell="H12" sqref="H12"/>
    </sheetView>
  </sheetViews>
  <sheetFormatPr defaultColWidth="9.08984375" defaultRowHeight="14.5" x14ac:dyDescent="0.35"/>
  <cols>
    <col min="1" max="1" width="10.90625" style="2" hidden="1" customWidth="1"/>
    <col min="2" max="3" width="9.08984375" style="2"/>
    <col min="4" max="4" width="12.453125" style="2" customWidth="1"/>
    <col min="5" max="5" width="9.08984375" style="2" customWidth="1"/>
    <col min="6" max="6" width="13.6328125" style="2" customWidth="1"/>
    <col min="7" max="7" width="14.6328125" style="28" customWidth="1"/>
    <col min="8" max="8" width="17.6328125" style="28" customWidth="1"/>
    <col min="9" max="9" width="12.08984375" style="2" bestFit="1" customWidth="1"/>
    <col min="10" max="10" width="20.90625" style="28" customWidth="1"/>
    <col min="11" max="11" width="19.90625" style="29" customWidth="1"/>
    <col min="12" max="12" width="20.90625" style="30" customWidth="1"/>
    <col min="13" max="13" width="10.81640625" style="29" bestFit="1" customWidth="1"/>
    <col min="14" max="14" width="20.453125" style="27" customWidth="1"/>
    <col min="15" max="15" width="19.453125" style="2" customWidth="1"/>
    <col min="16" max="16" width="20.453125" style="27" customWidth="1"/>
    <col min="17" max="17" width="10.453125" style="2" bestFit="1" customWidth="1"/>
    <col min="18" max="18" width="20.36328125" style="28" customWidth="1"/>
    <col min="19" max="19" width="19.36328125" style="31" customWidth="1"/>
    <col min="20" max="20" width="20.36328125" style="32" customWidth="1"/>
    <col min="21" max="21" width="11" style="31" bestFit="1" customWidth="1"/>
    <col min="22" max="34" width="9.08984375" style="2" customWidth="1"/>
    <col min="35" max="52" width="9.08984375" style="2"/>
    <col min="53" max="53" width="15.90625" style="2" bestFit="1" customWidth="1"/>
    <col min="54" max="55" width="9.90625" style="2" customWidth="1"/>
    <col min="56" max="16384" width="9.08984375" style="2"/>
  </cols>
  <sheetData>
    <row r="1" spans="1:54" ht="15" customHeight="1" x14ac:dyDescent="0.35">
      <c r="A1" s="3" t="s">
        <v>9</v>
      </c>
      <c r="B1" s="3" t="s">
        <v>5</v>
      </c>
      <c r="C1" s="3" t="s">
        <v>6</v>
      </c>
      <c r="D1" s="3" t="s">
        <v>7</v>
      </c>
      <c r="E1" s="3" t="s">
        <v>8</v>
      </c>
      <c r="F1" s="13" t="s">
        <v>31</v>
      </c>
      <c r="G1" s="14" t="s">
        <v>32</v>
      </c>
      <c r="H1" s="14" t="s">
        <v>0</v>
      </c>
      <c r="I1" s="15" t="s">
        <v>1</v>
      </c>
      <c r="J1" s="14" t="s">
        <v>26</v>
      </c>
      <c r="K1" s="16" t="s">
        <v>29</v>
      </c>
      <c r="L1" s="17" t="s">
        <v>30</v>
      </c>
      <c r="M1" s="18" t="s">
        <v>2</v>
      </c>
      <c r="N1" s="14" t="s">
        <v>27</v>
      </c>
      <c r="O1" s="34" t="s">
        <v>33</v>
      </c>
      <c r="P1" s="35" t="s">
        <v>34</v>
      </c>
      <c r="Q1" s="36" t="s">
        <v>3</v>
      </c>
      <c r="R1" s="14" t="s">
        <v>28</v>
      </c>
      <c r="S1" s="19" t="s">
        <v>36</v>
      </c>
      <c r="T1" s="20" t="s">
        <v>35</v>
      </c>
      <c r="U1" s="21" t="s">
        <v>4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BB1" s="12"/>
    </row>
    <row r="2" spans="1:54" x14ac:dyDescent="0.35">
      <c r="A2" s="3">
        <v>1</v>
      </c>
      <c r="B2" s="3">
        <v>9</v>
      </c>
      <c r="C2" s="3">
        <v>1</v>
      </c>
      <c r="D2" s="3">
        <v>1</v>
      </c>
      <c r="E2" s="3">
        <v>92</v>
      </c>
      <c r="F2" s="3">
        <v>1171.27</v>
      </c>
      <c r="G2" s="4">
        <f>F2/1000</f>
        <v>1.17127</v>
      </c>
      <c r="H2" s="4">
        <f>G2*I2</f>
        <v>81.988900000000001</v>
      </c>
      <c r="I2" s="3">
        <v>70</v>
      </c>
      <c r="J2" s="4">
        <f>L2*M2</f>
        <v>0</v>
      </c>
      <c r="K2" s="5">
        <f>0/1000</f>
        <v>0</v>
      </c>
      <c r="L2" s="6">
        <f>K2/1000</f>
        <v>0</v>
      </c>
      <c r="M2" s="5">
        <v>0</v>
      </c>
      <c r="N2" s="4">
        <f>P2*Q2</f>
        <v>14.99597</v>
      </c>
      <c r="O2" s="37">
        <v>1363.27</v>
      </c>
      <c r="P2" s="38">
        <f>O2/1000</f>
        <v>1.36327</v>
      </c>
      <c r="Q2" s="37">
        <v>11</v>
      </c>
      <c r="R2" s="4">
        <f>T2*U2</f>
        <v>7.7818399999999999</v>
      </c>
      <c r="S2" s="7">
        <v>972.73</v>
      </c>
      <c r="T2" s="8">
        <f>S2/1000</f>
        <v>0.97272999999999998</v>
      </c>
      <c r="U2" s="7">
        <v>8</v>
      </c>
      <c r="V2" s="3">
        <v>23.3</v>
      </c>
      <c r="W2" s="3">
        <v>10</v>
      </c>
      <c r="X2" s="3">
        <v>5.0650000000000004</v>
      </c>
      <c r="Y2" s="3">
        <v>2.9550000000000001</v>
      </c>
      <c r="Z2" s="3">
        <v>5.65</v>
      </c>
      <c r="AA2" s="3">
        <v>1.18</v>
      </c>
      <c r="AB2" s="3">
        <v>79.989999999999995</v>
      </c>
      <c r="AC2" s="3">
        <v>80.069999999999993</v>
      </c>
      <c r="AD2" s="3">
        <v>51.51</v>
      </c>
      <c r="AE2" s="3">
        <v>71.7</v>
      </c>
      <c r="AF2" s="3">
        <v>77.44</v>
      </c>
      <c r="AG2" s="3">
        <v>44.96</v>
      </c>
      <c r="AH2" s="3">
        <v>14.4</v>
      </c>
      <c r="AI2" s="3">
        <v>0.18</v>
      </c>
      <c r="AJ2" s="3">
        <v>81.13</v>
      </c>
      <c r="AK2"/>
    </row>
    <row r="3" spans="1:54" x14ac:dyDescent="0.35">
      <c r="A3" s="3">
        <v>2</v>
      </c>
      <c r="B3" s="3">
        <v>8</v>
      </c>
      <c r="C3" s="3">
        <v>1</v>
      </c>
      <c r="D3" s="3">
        <v>5</v>
      </c>
      <c r="E3" s="3">
        <v>78</v>
      </c>
      <c r="F3" s="3">
        <v>1066.6600000000001</v>
      </c>
      <c r="G3" s="4">
        <f t="shared" ref="G3:G66" si="0">F3/1000</f>
        <v>1.0666600000000002</v>
      </c>
      <c r="H3" s="4">
        <f>G3*I3</f>
        <v>119.46592000000001</v>
      </c>
      <c r="I3" s="3">
        <v>112</v>
      </c>
      <c r="J3" s="4">
        <f>L3*M3</f>
        <v>0</v>
      </c>
      <c r="K3" s="5">
        <f>0/100</f>
        <v>0</v>
      </c>
      <c r="L3" s="6">
        <f>K3/1000</f>
        <v>0</v>
      </c>
      <c r="M3" s="5">
        <v>7</v>
      </c>
      <c r="N3" s="4">
        <f>P3*Q3</f>
        <v>4.8919999999999995</v>
      </c>
      <c r="O3" s="37">
        <v>978.4</v>
      </c>
      <c r="P3" s="38">
        <f t="shared" ref="P3:P66" si="1">O3/1000</f>
        <v>0.97839999999999994</v>
      </c>
      <c r="Q3" s="37">
        <v>5</v>
      </c>
      <c r="R3" s="4">
        <f t="shared" ref="R3:R66" si="2">T3*U3</f>
        <v>1.44</v>
      </c>
      <c r="S3" s="7">
        <v>720</v>
      </c>
      <c r="T3" s="8">
        <f t="shared" ref="T3:T66" si="3">S3/1000</f>
        <v>0.72</v>
      </c>
      <c r="U3" s="7">
        <v>2</v>
      </c>
      <c r="V3" s="3">
        <v>20.52</v>
      </c>
      <c r="W3" s="3">
        <v>7.7679999999999998</v>
      </c>
      <c r="X3" s="3">
        <v>4.5860000000000003</v>
      </c>
      <c r="Y3" s="3">
        <v>2.3319999999999999</v>
      </c>
      <c r="Z3" s="3">
        <v>5.44</v>
      </c>
      <c r="AA3" s="3">
        <v>1.03</v>
      </c>
      <c r="AB3" s="3">
        <v>86.71</v>
      </c>
      <c r="AC3" s="3">
        <v>71.819999999999993</v>
      </c>
      <c r="AD3" s="3">
        <v>56.45</v>
      </c>
      <c r="AE3" s="3">
        <v>82.02</v>
      </c>
      <c r="AF3" s="3">
        <v>76.41</v>
      </c>
      <c r="AG3" s="3">
        <v>53.83</v>
      </c>
      <c r="AH3" s="3">
        <v>13.26</v>
      </c>
      <c r="AI3" s="3">
        <v>0.15</v>
      </c>
      <c r="AJ3" s="3">
        <v>87.23</v>
      </c>
      <c r="AK3"/>
    </row>
    <row r="4" spans="1:54" x14ac:dyDescent="0.35">
      <c r="A4" s="3">
        <v>3</v>
      </c>
      <c r="B4" s="3">
        <v>5</v>
      </c>
      <c r="C4" s="3">
        <v>1</v>
      </c>
      <c r="D4" s="3">
        <v>1</v>
      </c>
      <c r="E4" s="3">
        <v>39</v>
      </c>
      <c r="F4" s="3">
        <v>983.58</v>
      </c>
      <c r="G4" s="4">
        <f t="shared" si="0"/>
        <v>0.98358000000000001</v>
      </c>
      <c r="H4" s="4">
        <f>G4*I4</f>
        <v>76.719239999999999</v>
      </c>
      <c r="I4" s="3">
        <v>78</v>
      </c>
      <c r="J4" s="4">
        <f t="shared" ref="J4:J66" si="4">L4*M4</f>
        <v>1.075</v>
      </c>
      <c r="K4" s="5">
        <v>537.5</v>
      </c>
      <c r="L4" s="6">
        <f>K4/1000</f>
        <v>0.53749999999999998</v>
      </c>
      <c r="M4" s="5">
        <v>2</v>
      </c>
      <c r="N4" s="4">
        <f t="shared" ref="N4:N67" si="5">P4*Q4</f>
        <v>11.886939999999999</v>
      </c>
      <c r="O4" s="37">
        <v>914.38</v>
      </c>
      <c r="P4" s="38">
        <f t="shared" si="1"/>
        <v>0.91437999999999997</v>
      </c>
      <c r="Q4" s="37">
        <v>13</v>
      </c>
      <c r="R4" s="4">
        <f t="shared" si="2"/>
        <v>2.4659999999999997</v>
      </c>
      <c r="S4" s="7">
        <v>822</v>
      </c>
      <c r="T4" s="8">
        <f t="shared" si="3"/>
        <v>0.82199999999999995</v>
      </c>
      <c r="U4" s="7">
        <v>3</v>
      </c>
      <c r="V4" s="3">
        <v>21.48</v>
      </c>
      <c r="W4" s="3">
        <v>8.2289999999999992</v>
      </c>
      <c r="X4" s="3">
        <v>4.782</v>
      </c>
      <c r="Y4" s="3">
        <v>2.637</v>
      </c>
      <c r="Z4" s="3">
        <v>3.54</v>
      </c>
      <c r="AA4" s="3">
        <v>0.9</v>
      </c>
      <c r="AB4" s="3">
        <v>78.459999999999994</v>
      </c>
      <c r="AC4" s="3">
        <v>88.91</v>
      </c>
      <c r="AD4" s="3">
        <v>51.45</v>
      </c>
      <c r="AE4" s="3">
        <v>71.03</v>
      </c>
      <c r="AF4" s="3">
        <v>95</v>
      </c>
      <c r="AG4" s="3">
        <v>47.68</v>
      </c>
      <c r="AH4" s="3">
        <v>14.7</v>
      </c>
      <c r="AI4" s="3">
        <v>0.17</v>
      </c>
      <c r="AJ4" s="3">
        <v>88.12</v>
      </c>
      <c r="AK4"/>
    </row>
    <row r="5" spans="1:54" x14ac:dyDescent="0.35">
      <c r="A5" s="3">
        <v>4</v>
      </c>
      <c r="B5" s="3">
        <v>8</v>
      </c>
      <c r="C5" s="3">
        <v>1</v>
      </c>
      <c r="D5" s="3">
        <v>8</v>
      </c>
      <c r="E5" s="3">
        <v>78</v>
      </c>
      <c r="F5" s="3">
        <v>1080.53</v>
      </c>
      <c r="G5" s="4">
        <f t="shared" si="0"/>
        <v>1.08053</v>
      </c>
      <c r="H5" s="4">
        <f t="shared" ref="H5:H68" si="6">G5*I5</f>
        <v>88.603459999999998</v>
      </c>
      <c r="I5" s="3">
        <v>82</v>
      </c>
      <c r="J5" s="4">
        <f t="shared" si="4"/>
        <v>0.315</v>
      </c>
      <c r="K5" s="5">
        <v>315</v>
      </c>
      <c r="L5" s="6">
        <f t="shared" ref="L5:L68" si="7">K5/1000</f>
        <v>0.315</v>
      </c>
      <c r="M5" s="5">
        <v>1</v>
      </c>
      <c r="N5" s="4">
        <f t="shared" si="5"/>
        <v>2.7</v>
      </c>
      <c r="O5" s="37">
        <v>1350</v>
      </c>
      <c r="P5" s="38">
        <f t="shared" si="1"/>
        <v>1.35</v>
      </c>
      <c r="Q5" s="37">
        <v>2</v>
      </c>
      <c r="R5" s="4">
        <f t="shared" si="2"/>
        <v>5.93</v>
      </c>
      <c r="S5" s="7">
        <v>1482.5</v>
      </c>
      <c r="T5" s="8">
        <f t="shared" si="3"/>
        <v>1.4824999999999999</v>
      </c>
      <c r="U5" s="7">
        <v>4</v>
      </c>
      <c r="V5" s="3">
        <v>21.32</v>
      </c>
      <c r="W5" s="3">
        <v>8.3940000000000001</v>
      </c>
      <c r="X5" s="3">
        <v>4.3239999999999998</v>
      </c>
      <c r="Y5" s="3">
        <v>2.335</v>
      </c>
      <c r="Z5" s="3">
        <v>3.61</v>
      </c>
      <c r="AA5" s="3">
        <v>1.04</v>
      </c>
      <c r="AB5" s="3">
        <v>83.64</v>
      </c>
      <c r="AC5" s="3">
        <v>88.14</v>
      </c>
      <c r="AD5" s="3">
        <v>53.62</v>
      </c>
      <c r="AE5" s="3">
        <v>76.09</v>
      </c>
      <c r="AF5" s="3">
        <v>85.43</v>
      </c>
      <c r="AG5" s="3">
        <v>49.8</v>
      </c>
      <c r="AH5" s="3">
        <v>14</v>
      </c>
      <c r="AI5" s="3">
        <v>0.19</v>
      </c>
      <c r="AJ5" s="3">
        <v>75.2</v>
      </c>
      <c r="AK5"/>
    </row>
    <row r="6" spans="1:54" x14ac:dyDescent="0.35">
      <c r="A6" s="3">
        <v>5</v>
      </c>
      <c r="B6" s="3">
        <v>2</v>
      </c>
      <c r="C6" s="3">
        <v>1</v>
      </c>
      <c r="D6" s="3">
        <v>9</v>
      </c>
      <c r="E6" s="3">
        <v>12</v>
      </c>
      <c r="F6" s="3">
        <v>950.89</v>
      </c>
      <c r="G6" s="4">
        <f t="shared" si="0"/>
        <v>0.95089000000000001</v>
      </c>
      <c r="H6" s="4">
        <f t="shared" si="6"/>
        <v>53.249839999999999</v>
      </c>
      <c r="I6" s="3">
        <v>56</v>
      </c>
      <c r="J6" s="4">
        <f t="shared" si="4"/>
        <v>0.54400000000000004</v>
      </c>
      <c r="K6" s="5">
        <v>272</v>
      </c>
      <c r="L6" s="6">
        <f t="shared" si="7"/>
        <v>0.27200000000000002</v>
      </c>
      <c r="M6" s="5">
        <v>2</v>
      </c>
      <c r="N6" s="4">
        <f t="shared" si="5"/>
        <v>1.9419999999999999</v>
      </c>
      <c r="O6" s="37">
        <v>971</v>
      </c>
      <c r="P6" s="38">
        <f t="shared" si="1"/>
        <v>0.97099999999999997</v>
      </c>
      <c r="Q6" s="37">
        <v>2</v>
      </c>
      <c r="R6" s="4">
        <f t="shared" si="2"/>
        <v>2.835</v>
      </c>
      <c r="S6" s="7">
        <v>1417.5</v>
      </c>
      <c r="T6" s="8">
        <f t="shared" si="3"/>
        <v>1.4175</v>
      </c>
      <c r="U6" s="7">
        <v>2</v>
      </c>
      <c r="V6" s="3">
        <v>18.399999999999999</v>
      </c>
      <c r="W6" s="3">
        <v>10.119999999999999</v>
      </c>
      <c r="X6" s="3">
        <v>4.9880000000000004</v>
      </c>
      <c r="Y6" s="3">
        <v>2.5880000000000001</v>
      </c>
      <c r="Z6" s="3">
        <v>6.16</v>
      </c>
      <c r="AA6" s="3">
        <v>1.18</v>
      </c>
      <c r="AB6" s="3">
        <v>74.349999999999994</v>
      </c>
      <c r="AC6" s="3">
        <v>90.9</v>
      </c>
      <c r="AD6" s="3">
        <v>47.89</v>
      </c>
      <c r="AE6" s="3">
        <v>64.19</v>
      </c>
      <c r="AF6" s="3">
        <v>85.71</v>
      </c>
      <c r="AG6" s="3">
        <v>41.78</v>
      </c>
      <c r="AH6" s="3">
        <v>14.3</v>
      </c>
      <c r="AI6" s="3">
        <v>0.15</v>
      </c>
      <c r="AJ6" s="3">
        <v>93.53</v>
      </c>
      <c r="AK6"/>
    </row>
    <row r="7" spans="1:54" x14ac:dyDescent="0.35">
      <c r="A7" s="3">
        <v>6</v>
      </c>
      <c r="B7" s="3">
        <v>7</v>
      </c>
      <c r="C7" s="3">
        <v>1</v>
      </c>
      <c r="D7" s="3">
        <v>7</v>
      </c>
      <c r="E7" s="3">
        <v>61</v>
      </c>
      <c r="F7" s="3">
        <v>744.52</v>
      </c>
      <c r="G7" s="4">
        <f t="shared" si="0"/>
        <v>0.74451999999999996</v>
      </c>
      <c r="H7" s="4">
        <f t="shared" si="6"/>
        <v>54.349959999999996</v>
      </c>
      <c r="I7" s="3">
        <v>73</v>
      </c>
      <c r="J7" s="4">
        <f t="shared" si="4"/>
        <v>1.3120000000000001</v>
      </c>
      <c r="K7" s="5">
        <v>656</v>
      </c>
      <c r="L7" s="6">
        <f t="shared" si="7"/>
        <v>0.65600000000000003</v>
      </c>
      <c r="M7" s="5">
        <v>2</v>
      </c>
      <c r="N7" s="4">
        <f t="shared" si="5"/>
        <v>1.3859999999999999</v>
      </c>
      <c r="O7" s="37">
        <v>693</v>
      </c>
      <c r="P7" s="38">
        <f t="shared" si="1"/>
        <v>0.69299999999999995</v>
      </c>
      <c r="Q7" s="37">
        <v>2</v>
      </c>
      <c r="R7" s="4">
        <f t="shared" si="2"/>
        <v>0</v>
      </c>
      <c r="S7" s="7">
        <v>0</v>
      </c>
      <c r="T7" s="8">
        <f t="shared" si="3"/>
        <v>0</v>
      </c>
      <c r="U7" s="7">
        <v>0</v>
      </c>
      <c r="V7" s="3">
        <v>18.36</v>
      </c>
      <c r="W7" s="3">
        <v>9.0739999999999998</v>
      </c>
      <c r="X7" s="3">
        <v>4.4610000000000003</v>
      </c>
      <c r="Y7" s="3">
        <v>2.3010000000000002</v>
      </c>
      <c r="Z7" s="3">
        <v>5.7</v>
      </c>
      <c r="AA7" s="3">
        <v>1.29</v>
      </c>
      <c r="AB7" s="3">
        <v>86.88</v>
      </c>
      <c r="AC7" s="3">
        <v>74.510000000000005</v>
      </c>
      <c r="AD7" s="3">
        <v>54.83</v>
      </c>
      <c r="AE7" s="3">
        <v>76.48</v>
      </c>
      <c r="AF7" s="3">
        <v>86.63</v>
      </c>
      <c r="AG7" s="3">
        <v>49.47</v>
      </c>
      <c r="AH7" s="3">
        <v>15.8</v>
      </c>
      <c r="AI7" s="3">
        <v>0.14000000000000001</v>
      </c>
      <c r="AJ7" s="3">
        <v>112.85</v>
      </c>
      <c r="AK7"/>
    </row>
    <row r="8" spans="1:54" x14ac:dyDescent="0.35">
      <c r="A8" s="3">
        <v>7</v>
      </c>
      <c r="B8" s="3">
        <v>7</v>
      </c>
      <c r="C8" s="3">
        <v>1</v>
      </c>
      <c r="D8" s="3">
        <v>9</v>
      </c>
      <c r="E8" s="3">
        <v>61</v>
      </c>
      <c r="F8" s="3">
        <v>1124.7</v>
      </c>
      <c r="G8" s="4">
        <f t="shared" si="0"/>
        <v>1.1247</v>
      </c>
      <c r="H8" s="4">
        <f t="shared" si="6"/>
        <v>57.359700000000004</v>
      </c>
      <c r="I8" s="3">
        <v>51</v>
      </c>
      <c r="J8" s="4">
        <f t="shared" si="4"/>
        <v>5.3260000000000005</v>
      </c>
      <c r="K8" s="5">
        <v>532.6</v>
      </c>
      <c r="L8" s="6">
        <f t="shared" si="7"/>
        <v>0.53260000000000007</v>
      </c>
      <c r="M8" s="5">
        <v>10</v>
      </c>
      <c r="N8" s="4">
        <f t="shared" si="5"/>
        <v>1.0660000000000001</v>
      </c>
      <c r="O8" s="37">
        <v>1066</v>
      </c>
      <c r="P8" s="38">
        <f t="shared" si="1"/>
        <v>1.0660000000000001</v>
      </c>
      <c r="Q8" s="37">
        <v>1</v>
      </c>
      <c r="R8" s="4">
        <f t="shared" si="2"/>
        <v>0</v>
      </c>
      <c r="S8" s="7">
        <v>0</v>
      </c>
      <c r="T8" s="8">
        <f t="shared" si="3"/>
        <v>0</v>
      </c>
      <c r="U8" s="7">
        <v>0</v>
      </c>
      <c r="V8" s="3">
        <v>26.75</v>
      </c>
      <c r="W8" s="3">
        <v>9.7959999999999994</v>
      </c>
      <c r="X8" s="3">
        <v>4.8440000000000003</v>
      </c>
      <c r="Y8" s="3">
        <v>2.464</v>
      </c>
      <c r="Z8" s="3">
        <v>5.58</v>
      </c>
      <c r="AA8" s="3">
        <v>1.1299999999999999</v>
      </c>
      <c r="AB8" s="3">
        <v>72.599999999999994</v>
      </c>
      <c r="AC8" s="3">
        <v>84.64</v>
      </c>
      <c r="AD8" s="3">
        <v>47.49</v>
      </c>
      <c r="AE8" s="3">
        <v>74.59</v>
      </c>
      <c r="AF8" s="3">
        <v>88.06</v>
      </c>
      <c r="AG8" s="3">
        <v>48.77</v>
      </c>
      <c r="AH8" s="3">
        <v>13.65</v>
      </c>
      <c r="AI8" s="3">
        <v>0.16</v>
      </c>
      <c r="AJ8" s="3">
        <v>85.31</v>
      </c>
      <c r="AK8"/>
    </row>
    <row r="9" spans="1:54" x14ac:dyDescent="0.35">
      <c r="A9" s="3">
        <v>8</v>
      </c>
      <c r="B9" s="3">
        <v>8</v>
      </c>
      <c r="C9" s="3">
        <v>1</v>
      </c>
      <c r="D9" s="3">
        <v>2</v>
      </c>
      <c r="E9" s="3">
        <v>78</v>
      </c>
      <c r="F9" s="3">
        <v>1360.5</v>
      </c>
      <c r="G9" s="4">
        <f t="shared" si="0"/>
        <v>1.3605</v>
      </c>
      <c r="H9" s="4">
        <f t="shared" si="6"/>
        <v>57.141000000000005</v>
      </c>
      <c r="I9" s="3">
        <v>42</v>
      </c>
      <c r="J9" s="4">
        <f t="shared" si="4"/>
        <v>1.5249999999999999</v>
      </c>
      <c r="K9" s="5">
        <v>762.5</v>
      </c>
      <c r="L9" s="6">
        <f t="shared" si="7"/>
        <v>0.76249999999999996</v>
      </c>
      <c r="M9" s="5">
        <v>2</v>
      </c>
      <c r="N9" s="4">
        <f t="shared" si="5"/>
        <v>0.99</v>
      </c>
      <c r="O9" s="37">
        <v>990</v>
      </c>
      <c r="P9" s="38">
        <f t="shared" si="1"/>
        <v>0.99</v>
      </c>
      <c r="Q9" s="37">
        <v>1</v>
      </c>
      <c r="R9" s="4">
        <f t="shared" si="2"/>
        <v>0</v>
      </c>
      <c r="S9" s="7">
        <v>0</v>
      </c>
      <c r="T9" s="8">
        <f t="shared" si="3"/>
        <v>0</v>
      </c>
      <c r="U9" s="7">
        <v>0</v>
      </c>
      <c r="V9" s="3">
        <v>27.5</v>
      </c>
      <c r="W9" s="3">
        <v>10.728999999999999</v>
      </c>
      <c r="X9" s="3">
        <v>5.1100000000000003</v>
      </c>
      <c r="Y9" s="3">
        <v>2.8580000000000001</v>
      </c>
      <c r="Z9" s="3">
        <v>2.63</v>
      </c>
      <c r="AA9" s="3">
        <v>0.93</v>
      </c>
      <c r="AB9" s="3">
        <v>78.91</v>
      </c>
      <c r="AC9" s="3">
        <v>88.91</v>
      </c>
      <c r="AD9" s="3">
        <v>49.76</v>
      </c>
      <c r="AE9" s="3">
        <v>92.72</v>
      </c>
      <c r="AF9" s="3">
        <v>67.959999999999994</v>
      </c>
      <c r="AG9" s="3">
        <v>57.63</v>
      </c>
      <c r="AH9" s="3">
        <v>9.9</v>
      </c>
      <c r="AI9" s="3">
        <v>0.16</v>
      </c>
      <c r="AJ9" s="3">
        <v>60.07</v>
      </c>
      <c r="AK9"/>
    </row>
    <row r="10" spans="1:54" x14ac:dyDescent="0.35">
      <c r="A10" s="3">
        <v>9</v>
      </c>
      <c r="B10" s="3">
        <v>2</v>
      </c>
      <c r="C10" s="3">
        <v>1</v>
      </c>
      <c r="D10" s="3">
        <v>10</v>
      </c>
      <c r="E10" s="3">
        <v>12</v>
      </c>
      <c r="F10" s="3">
        <v>1113</v>
      </c>
      <c r="G10" s="4">
        <f t="shared" si="0"/>
        <v>1.113</v>
      </c>
      <c r="H10" s="4">
        <f t="shared" si="6"/>
        <v>26.712</v>
      </c>
      <c r="I10" s="3">
        <v>24</v>
      </c>
      <c r="J10" s="4">
        <f t="shared" si="4"/>
        <v>0</v>
      </c>
      <c r="K10" s="5">
        <v>0</v>
      </c>
      <c r="L10" s="6">
        <f t="shared" si="7"/>
        <v>0</v>
      </c>
      <c r="M10" s="5">
        <v>0</v>
      </c>
      <c r="N10" s="4">
        <f t="shared" si="5"/>
        <v>0.71099999999999997</v>
      </c>
      <c r="O10" s="37">
        <v>355.5</v>
      </c>
      <c r="P10" s="38">
        <f t="shared" si="1"/>
        <v>0.35549999999999998</v>
      </c>
      <c r="Q10" s="37">
        <v>2</v>
      </c>
      <c r="R10" s="4">
        <f t="shared" si="2"/>
        <v>0</v>
      </c>
      <c r="S10" s="7">
        <v>0</v>
      </c>
      <c r="T10" s="8">
        <f t="shared" si="3"/>
        <v>0</v>
      </c>
      <c r="U10" s="7">
        <v>0</v>
      </c>
      <c r="V10" s="3">
        <v>20.34</v>
      </c>
      <c r="W10" s="3">
        <v>10.378</v>
      </c>
      <c r="X10" s="3">
        <v>5.56</v>
      </c>
      <c r="Y10" s="3">
        <v>2.738</v>
      </c>
      <c r="Z10" s="3">
        <v>4.1900000000000004</v>
      </c>
      <c r="AA10" s="3">
        <v>1.1399999999999999</v>
      </c>
      <c r="AB10" s="3">
        <v>73.98</v>
      </c>
      <c r="AC10" s="3">
        <v>80.81</v>
      </c>
      <c r="AD10" s="3">
        <v>50.86</v>
      </c>
      <c r="AE10" s="3">
        <v>67.25</v>
      </c>
      <c r="AF10" s="3">
        <v>78.72</v>
      </c>
      <c r="AG10" s="3">
        <v>45.52</v>
      </c>
      <c r="AH10" s="3">
        <v>14.2</v>
      </c>
      <c r="AI10" s="3">
        <v>0.18</v>
      </c>
      <c r="AJ10" s="3">
        <v>78.22</v>
      </c>
      <c r="AK10"/>
    </row>
    <row r="11" spans="1:54" x14ac:dyDescent="0.35">
      <c r="A11" s="3">
        <v>10</v>
      </c>
      <c r="B11" s="3">
        <v>5</v>
      </c>
      <c r="C11" s="3">
        <v>1</v>
      </c>
      <c r="D11" s="3">
        <v>9</v>
      </c>
      <c r="E11" s="3">
        <v>39</v>
      </c>
      <c r="F11" s="3">
        <v>898.85</v>
      </c>
      <c r="G11" s="4">
        <f t="shared" si="0"/>
        <v>0.89885000000000004</v>
      </c>
      <c r="H11" s="4">
        <f t="shared" si="6"/>
        <v>86.289600000000007</v>
      </c>
      <c r="I11" s="3">
        <v>96</v>
      </c>
      <c r="J11" s="4">
        <f t="shared" si="4"/>
        <v>1.76</v>
      </c>
      <c r="K11" s="5">
        <v>440</v>
      </c>
      <c r="L11" s="6">
        <f t="shared" si="7"/>
        <v>0.44</v>
      </c>
      <c r="M11" s="5">
        <v>4</v>
      </c>
      <c r="N11" s="4">
        <f t="shared" si="5"/>
        <v>4.5439999999999996</v>
      </c>
      <c r="O11" s="37">
        <v>908.8</v>
      </c>
      <c r="P11" s="38">
        <f t="shared" si="1"/>
        <v>0.90879999999999994</v>
      </c>
      <c r="Q11" s="37">
        <v>5</v>
      </c>
      <c r="R11" s="4">
        <f t="shared" si="2"/>
        <v>3.1459999999999999</v>
      </c>
      <c r="S11" s="7">
        <v>786.5</v>
      </c>
      <c r="T11" s="8">
        <f t="shared" si="3"/>
        <v>0.78649999999999998</v>
      </c>
      <c r="U11" s="7">
        <v>4</v>
      </c>
      <c r="V11" s="3">
        <v>21.42</v>
      </c>
      <c r="W11" s="3">
        <v>8.8330000000000002</v>
      </c>
      <c r="X11" s="3">
        <v>4.423</v>
      </c>
      <c r="Y11" s="3">
        <v>2.282</v>
      </c>
      <c r="Z11" s="3">
        <v>3.47</v>
      </c>
      <c r="AA11" s="3">
        <v>0.79</v>
      </c>
      <c r="AB11" s="3">
        <v>82.73</v>
      </c>
      <c r="AC11" s="3">
        <v>80.63</v>
      </c>
      <c r="AD11" s="3">
        <v>54.12</v>
      </c>
      <c r="AE11" s="3">
        <v>81.89</v>
      </c>
      <c r="AF11" s="3">
        <v>86.58</v>
      </c>
      <c r="AG11" s="3">
        <v>54.02</v>
      </c>
      <c r="AH11" s="3">
        <v>13.92</v>
      </c>
      <c r="AI11" s="3">
        <v>0.19</v>
      </c>
      <c r="AJ11" s="3">
        <v>72.290000000000006</v>
      </c>
      <c r="AK11"/>
    </row>
    <row r="12" spans="1:54" x14ac:dyDescent="0.35">
      <c r="A12" s="3">
        <v>11</v>
      </c>
      <c r="B12" s="3">
        <v>1</v>
      </c>
      <c r="C12" s="3">
        <v>1</v>
      </c>
      <c r="D12" s="3">
        <v>1</v>
      </c>
      <c r="E12" s="3">
        <v>1</v>
      </c>
      <c r="F12" s="3">
        <v>1014.4</v>
      </c>
      <c r="G12" s="4">
        <f t="shared" si="0"/>
        <v>1.0144</v>
      </c>
      <c r="H12" s="4">
        <f t="shared" si="6"/>
        <v>30.431999999999999</v>
      </c>
      <c r="I12" s="3">
        <v>30</v>
      </c>
      <c r="J12" s="4">
        <f t="shared" si="4"/>
        <v>2.0259999999999998</v>
      </c>
      <c r="K12" s="5">
        <v>506.5</v>
      </c>
      <c r="L12" s="6">
        <f t="shared" si="7"/>
        <v>0.50649999999999995</v>
      </c>
      <c r="M12" s="5">
        <v>4</v>
      </c>
      <c r="N12" s="4">
        <f t="shared" si="5"/>
        <v>1.1200000000000001</v>
      </c>
      <c r="O12" s="37">
        <v>1120</v>
      </c>
      <c r="P12" s="38">
        <f t="shared" si="1"/>
        <v>1.1200000000000001</v>
      </c>
      <c r="Q12" s="37">
        <v>1</v>
      </c>
      <c r="R12" s="4">
        <f t="shared" si="2"/>
        <v>2.68</v>
      </c>
      <c r="S12" s="7">
        <v>1340</v>
      </c>
      <c r="T12" s="8">
        <f t="shared" si="3"/>
        <v>1.34</v>
      </c>
      <c r="U12" s="7">
        <v>2</v>
      </c>
      <c r="V12" s="3">
        <v>19.14</v>
      </c>
      <c r="W12" s="3">
        <v>8.391</v>
      </c>
      <c r="X12" s="3">
        <v>4.0490000000000004</v>
      </c>
      <c r="Y12" s="3">
        <v>2.3130000000000002</v>
      </c>
      <c r="Z12" s="3">
        <v>3.68</v>
      </c>
      <c r="AA12" s="3">
        <v>0.95</v>
      </c>
      <c r="AB12" s="3">
        <v>75.75</v>
      </c>
      <c r="AC12" s="3">
        <v>79.459999999999994</v>
      </c>
      <c r="AD12" s="3">
        <v>49.47</v>
      </c>
      <c r="AE12" s="3">
        <v>72.98</v>
      </c>
      <c r="AF12" s="3">
        <v>88.86</v>
      </c>
      <c r="AG12" s="3">
        <v>48.65</v>
      </c>
      <c r="AH12" s="3">
        <v>14.4</v>
      </c>
      <c r="AI12" s="3">
        <v>0.16</v>
      </c>
      <c r="AJ12" s="3">
        <v>87.67</v>
      </c>
      <c r="AK12"/>
    </row>
    <row r="13" spans="1:54" x14ac:dyDescent="0.35">
      <c r="A13" s="3">
        <v>12</v>
      </c>
      <c r="B13" s="3">
        <v>9</v>
      </c>
      <c r="C13" s="3">
        <v>1</v>
      </c>
      <c r="D13" s="3">
        <v>6</v>
      </c>
      <c r="E13" s="3">
        <v>92</v>
      </c>
      <c r="F13" s="3">
        <v>695.43</v>
      </c>
      <c r="G13" s="4">
        <f t="shared" si="0"/>
        <v>0.69542999999999999</v>
      </c>
      <c r="H13" s="4">
        <f t="shared" si="6"/>
        <v>70.238429999999994</v>
      </c>
      <c r="I13" s="3">
        <v>101</v>
      </c>
      <c r="J13" s="4">
        <f t="shared" si="4"/>
        <v>2.54</v>
      </c>
      <c r="K13" s="5">
        <v>317.5</v>
      </c>
      <c r="L13" s="6">
        <f t="shared" si="7"/>
        <v>0.3175</v>
      </c>
      <c r="M13" s="5">
        <v>8</v>
      </c>
      <c r="N13" s="4">
        <f t="shared" si="5"/>
        <v>2.3329800000000001</v>
      </c>
      <c r="O13" s="37">
        <v>777.66</v>
      </c>
      <c r="P13" s="38">
        <f t="shared" si="1"/>
        <v>0.77766000000000002</v>
      </c>
      <c r="Q13" s="37">
        <v>3</v>
      </c>
      <c r="R13" s="4">
        <f t="shared" si="2"/>
        <v>1.6850000000000001</v>
      </c>
      <c r="S13" s="7">
        <v>842.5</v>
      </c>
      <c r="T13" s="8">
        <f t="shared" si="3"/>
        <v>0.84250000000000003</v>
      </c>
      <c r="U13" s="7">
        <v>2</v>
      </c>
      <c r="V13" s="3">
        <v>18.8</v>
      </c>
      <c r="W13" s="3">
        <v>8.7789999999999999</v>
      </c>
      <c r="X13" s="3">
        <v>3.9929999999999999</v>
      </c>
      <c r="Y13" s="3">
        <v>2.4079999999999999</v>
      </c>
      <c r="Z13" s="3">
        <v>5.1100000000000003</v>
      </c>
      <c r="AA13" s="3">
        <v>1.1399999999999999</v>
      </c>
      <c r="AB13" s="3">
        <v>79.44</v>
      </c>
      <c r="AC13" s="3">
        <v>82.51</v>
      </c>
      <c r="AD13" s="3">
        <v>51.51</v>
      </c>
      <c r="AE13" s="3">
        <v>59.12</v>
      </c>
      <c r="AF13" s="3">
        <v>89.71</v>
      </c>
      <c r="AG13" s="3">
        <v>46.56</v>
      </c>
      <c r="AH13" s="3">
        <v>13.3</v>
      </c>
      <c r="AI13" s="3">
        <v>0.16</v>
      </c>
      <c r="AJ13" s="3">
        <v>86.67</v>
      </c>
      <c r="AK13"/>
    </row>
    <row r="14" spans="1:54" x14ac:dyDescent="0.35">
      <c r="A14" s="3">
        <v>13</v>
      </c>
      <c r="B14" s="3">
        <v>8</v>
      </c>
      <c r="C14" s="3">
        <v>1</v>
      </c>
      <c r="D14" s="3">
        <v>9</v>
      </c>
      <c r="E14" s="3">
        <v>78</v>
      </c>
      <c r="F14" s="3">
        <v>1009.38</v>
      </c>
      <c r="G14" s="4">
        <f t="shared" si="0"/>
        <v>1.0093799999999999</v>
      </c>
      <c r="H14" s="4">
        <f t="shared" si="6"/>
        <v>62.581559999999996</v>
      </c>
      <c r="I14" s="3">
        <v>62</v>
      </c>
      <c r="J14" s="4">
        <f t="shared" si="4"/>
        <v>3.8809399999999994</v>
      </c>
      <c r="K14" s="5">
        <v>554.41999999999996</v>
      </c>
      <c r="L14" s="6">
        <f t="shared" si="7"/>
        <v>0.55441999999999991</v>
      </c>
      <c r="M14" s="5">
        <v>7</v>
      </c>
      <c r="N14" s="4">
        <f t="shared" si="5"/>
        <v>2.875</v>
      </c>
      <c r="O14" s="37">
        <v>1437.5</v>
      </c>
      <c r="P14" s="38">
        <f t="shared" si="1"/>
        <v>1.4375</v>
      </c>
      <c r="Q14" s="37">
        <v>2</v>
      </c>
      <c r="R14" s="4">
        <f t="shared" si="2"/>
        <v>0.79700000000000004</v>
      </c>
      <c r="S14" s="7">
        <v>797</v>
      </c>
      <c r="T14" s="8">
        <f t="shared" si="3"/>
        <v>0.79700000000000004</v>
      </c>
      <c r="U14" s="7">
        <v>1</v>
      </c>
      <c r="V14" s="3">
        <v>22.48</v>
      </c>
      <c r="W14" s="3">
        <v>9.8249999999999993</v>
      </c>
      <c r="X14" s="3">
        <v>5.0279999999999996</v>
      </c>
      <c r="Y14" s="3">
        <v>2.633</v>
      </c>
      <c r="Z14" s="3">
        <v>4.3899999999999997</v>
      </c>
      <c r="AA14" s="3">
        <v>0.96</v>
      </c>
      <c r="AB14" s="3">
        <v>83.26</v>
      </c>
      <c r="AC14" s="3">
        <v>86.21</v>
      </c>
      <c r="AD14" s="3">
        <v>53.96</v>
      </c>
      <c r="AE14" s="3">
        <v>82.16</v>
      </c>
      <c r="AF14" s="3">
        <v>79.099999999999994</v>
      </c>
      <c r="AG14" s="3">
        <v>51.83</v>
      </c>
      <c r="AH14" s="3">
        <v>13.5</v>
      </c>
      <c r="AI14" s="3">
        <v>0.17</v>
      </c>
      <c r="AJ14" s="3">
        <v>77.09</v>
      </c>
      <c r="AK14"/>
    </row>
    <row r="15" spans="1:54" x14ac:dyDescent="0.35">
      <c r="A15" s="3">
        <v>14</v>
      </c>
      <c r="B15" s="3">
        <v>8</v>
      </c>
      <c r="C15" s="3">
        <v>1</v>
      </c>
      <c r="D15" s="3">
        <v>7</v>
      </c>
      <c r="E15" s="3">
        <v>78</v>
      </c>
      <c r="F15" s="3">
        <v>910.6</v>
      </c>
      <c r="G15" s="4">
        <f t="shared" si="0"/>
        <v>0.91060000000000008</v>
      </c>
      <c r="H15" s="4">
        <f t="shared" si="6"/>
        <v>57.367800000000003</v>
      </c>
      <c r="I15" s="3">
        <v>63</v>
      </c>
      <c r="J15" s="4">
        <f t="shared" si="4"/>
        <v>1.81698</v>
      </c>
      <c r="K15" s="5">
        <v>605.66</v>
      </c>
      <c r="L15" s="6">
        <f t="shared" si="7"/>
        <v>0.60565999999999998</v>
      </c>
      <c r="M15" s="5">
        <v>3</v>
      </c>
      <c r="N15" s="4">
        <f t="shared" si="5"/>
        <v>8.0820000000000007</v>
      </c>
      <c r="O15" s="37">
        <v>898</v>
      </c>
      <c r="P15" s="38">
        <f t="shared" si="1"/>
        <v>0.89800000000000002</v>
      </c>
      <c r="Q15" s="37">
        <v>9</v>
      </c>
      <c r="R15" s="4">
        <f t="shared" si="2"/>
        <v>9.0829899999999988</v>
      </c>
      <c r="S15" s="7">
        <v>1297.57</v>
      </c>
      <c r="T15" s="8">
        <f t="shared" si="3"/>
        <v>1.2975699999999999</v>
      </c>
      <c r="U15" s="7">
        <v>7</v>
      </c>
      <c r="V15" s="3">
        <v>19.36</v>
      </c>
      <c r="W15" s="3">
        <v>11.281000000000001</v>
      </c>
      <c r="X15" s="3">
        <v>6.0419999999999998</v>
      </c>
      <c r="Y15" s="3">
        <v>4.0119999999999996</v>
      </c>
      <c r="Z15" s="3">
        <v>6.08</v>
      </c>
      <c r="AA15" s="3">
        <v>1.1599999999999999</v>
      </c>
      <c r="AB15" s="3">
        <v>75.08</v>
      </c>
      <c r="AC15" s="3">
        <v>87.19</v>
      </c>
      <c r="AD15" s="3">
        <v>49.06</v>
      </c>
      <c r="AE15" s="3">
        <v>71.8</v>
      </c>
      <c r="AF15" s="3">
        <v>81.41</v>
      </c>
      <c r="AG15" s="3">
        <v>46.72</v>
      </c>
      <c r="AH15" s="3">
        <v>13.8</v>
      </c>
      <c r="AI15" s="3">
        <v>0.2</v>
      </c>
      <c r="AJ15" s="3">
        <v>68.989999999999995</v>
      </c>
      <c r="AK15"/>
    </row>
    <row r="16" spans="1:54" x14ac:dyDescent="0.35">
      <c r="A16" s="3">
        <v>15</v>
      </c>
      <c r="B16" s="3">
        <v>9</v>
      </c>
      <c r="C16" s="3">
        <v>1</v>
      </c>
      <c r="D16" s="3">
        <v>8</v>
      </c>
      <c r="E16" s="3">
        <v>92</v>
      </c>
      <c r="F16" s="3">
        <v>643.62</v>
      </c>
      <c r="G16" s="4">
        <f t="shared" si="0"/>
        <v>0.64361999999999997</v>
      </c>
      <c r="H16" s="4">
        <f t="shared" si="6"/>
        <v>57.282179999999997</v>
      </c>
      <c r="I16" s="3">
        <v>89</v>
      </c>
      <c r="J16" s="4">
        <f t="shared" si="4"/>
        <v>3.5119500000000001</v>
      </c>
      <c r="K16" s="5">
        <v>270.14999999999998</v>
      </c>
      <c r="L16" s="6">
        <f t="shared" si="7"/>
        <v>0.27015</v>
      </c>
      <c r="M16" s="5">
        <v>13</v>
      </c>
      <c r="N16" s="4">
        <f t="shared" si="5"/>
        <v>1.036</v>
      </c>
      <c r="O16" s="37">
        <v>1036</v>
      </c>
      <c r="P16" s="38">
        <f t="shared" si="1"/>
        <v>1.036</v>
      </c>
      <c r="Q16" s="37">
        <v>1</v>
      </c>
      <c r="R16" s="4">
        <f t="shared" si="2"/>
        <v>0.32200000000000001</v>
      </c>
      <c r="S16" s="7">
        <v>322</v>
      </c>
      <c r="T16" s="8">
        <f t="shared" si="3"/>
        <v>0.32200000000000001</v>
      </c>
      <c r="U16" s="7">
        <v>1</v>
      </c>
      <c r="V16" s="3">
        <v>18.68</v>
      </c>
      <c r="W16" s="3">
        <v>9.0220000000000002</v>
      </c>
      <c r="X16" s="3">
        <v>4.5270000000000001</v>
      </c>
      <c r="Y16" s="3">
        <v>2.93</v>
      </c>
      <c r="Z16" s="3">
        <v>3.26</v>
      </c>
      <c r="AA16" s="3">
        <v>0.57999999999999996</v>
      </c>
      <c r="AB16" s="3">
        <v>80.92</v>
      </c>
      <c r="AC16" s="3">
        <v>75.14</v>
      </c>
      <c r="AD16" s="3">
        <v>52.5</v>
      </c>
      <c r="AE16" s="3">
        <v>80.900000000000006</v>
      </c>
      <c r="AF16" s="3">
        <v>93.11</v>
      </c>
      <c r="AG16" s="3">
        <v>52.92</v>
      </c>
      <c r="AH16" s="3">
        <v>13.4</v>
      </c>
      <c r="AI16" s="3">
        <v>0.17</v>
      </c>
      <c r="AJ16" s="3">
        <v>78.819999999999993</v>
      </c>
      <c r="AK16"/>
    </row>
    <row r="17" spans="1:38" x14ac:dyDescent="0.35">
      <c r="A17" s="3">
        <v>19</v>
      </c>
      <c r="B17" s="3">
        <v>1</v>
      </c>
      <c r="C17" s="3">
        <v>5</v>
      </c>
      <c r="D17" s="3">
        <v>9</v>
      </c>
      <c r="E17" s="3">
        <v>5</v>
      </c>
      <c r="F17" s="3">
        <v>1082.2</v>
      </c>
      <c r="G17" s="4">
        <f t="shared" si="0"/>
        <v>1.0822000000000001</v>
      </c>
      <c r="H17" s="4">
        <f t="shared" si="6"/>
        <v>37.877000000000002</v>
      </c>
      <c r="I17" s="3">
        <v>35</v>
      </c>
      <c r="J17" s="4">
        <f t="shared" si="4"/>
        <v>0.879</v>
      </c>
      <c r="K17" s="5">
        <v>439.5</v>
      </c>
      <c r="L17" s="6">
        <f t="shared" si="7"/>
        <v>0.4395</v>
      </c>
      <c r="M17" s="5">
        <v>2</v>
      </c>
      <c r="N17" s="4">
        <f t="shared" si="5"/>
        <v>1.43</v>
      </c>
      <c r="O17" s="37">
        <v>715</v>
      </c>
      <c r="P17" s="38">
        <f t="shared" si="1"/>
        <v>0.71499999999999997</v>
      </c>
      <c r="Q17" s="37">
        <v>2</v>
      </c>
      <c r="R17" s="4">
        <f t="shared" si="2"/>
        <v>1.2569999999999999</v>
      </c>
      <c r="S17" s="7">
        <v>1257</v>
      </c>
      <c r="T17" s="8">
        <f t="shared" si="3"/>
        <v>1.2569999999999999</v>
      </c>
      <c r="U17" s="7">
        <v>1</v>
      </c>
      <c r="V17" s="13">
        <v>25.1</v>
      </c>
      <c r="W17" s="10">
        <v>9.17</v>
      </c>
      <c r="X17" s="10">
        <v>3.8939999999999997</v>
      </c>
      <c r="Y17" s="10">
        <v>2.5179999999999998</v>
      </c>
      <c r="Z17" s="10">
        <v>6.01</v>
      </c>
      <c r="AA17" s="10">
        <v>1.36</v>
      </c>
      <c r="AB17" s="10">
        <v>57.01</v>
      </c>
      <c r="AC17" s="10">
        <v>58.65</v>
      </c>
      <c r="AD17" s="10">
        <v>38.07</v>
      </c>
      <c r="AE17" s="10">
        <v>51.45</v>
      </c>
      <c r="AF17" s="10">
        <v>70.36</v>
      </c>
      <c r="AG17" s="10">
        <v>33.9</v>
      </c>
      <c r="AH17" s="10">
        <v>15.2</v>
      </c>
      <c r="AI17" s="10">
        <v>0.16</v>
      </c>
      <c r="AJ17" s="10">
        <v>96.4</v>
      </c>
      <c r="AK17"/>
      <c r="AL17"/>
    </row>
    <row r="18" spans="1:38" x14ac:dyDescent="0.35">
      <c r="A18" s="3">
        <v>20</v>
      </c>
      <c r="B18" s="3">
        <v>5</v>
      </c>
      <c r="C18" s="3">
        <v>5</v>
      </c>
      <c r="D18" s="3">
        <v>3</v>
      </c>
      <c r="E18" s="3">
        <v>54</v>
      </c>
      <c r="F18" s="3">
        <v>1158.8800000000001</v>
      </c>
      <c r="G18" s="4">
        <f t="shared" si="0"/>
        <v>1.1588800000000001</v>
      </c>
      <c r="H18" s="4">
        <f t="shared" si="6"/>
        <v>79.962720000000004</v>
      </c>
      <c r="I18" s="3">
        <v>69</v>
      </c>
      <c r="J18" s="4">
        <f t="shared" si="4"/>
        <v>0.86280000000000001</v>
      </c>
      <c r="K18" s="5">
        <v>287.60000000000002</v>
      </c>
      <c r="L18" s="6">
        <f t="shared" si="7"/>
        <v>0.28760000000000002</v>
      </c>
      <c r="M18" s="5">
        <v>3</v>
      </c>
      <c r="N18" s="4">
        <f t="shared" si="5"/>
        <v>2.13198</v>
      </c>
      <c r="O18" s="37">
        <v>710.66</v>
      </c>
      <c r="P18" s="38">
        <f t="shared" si="1"/>
        <v>0.71065999999999996</v>
      </c>
      <c r="Q18" s="37">
        <v>3</v>
      </c>
      <c r="R18" s="4">
        <f t="shared" si="2"/>
        <v>0</v>
      </c>
      <c r="S18" s="7">
        <v>0</v>
      </c>
      <c r="T18" s="8">
        <f t="shared" si="3"/>
        <v>0</v>
      </c>
      <c r="U18" s="7">
        <v>0</v>
      </c>
      <c r="V18" s="13">
        <v>22.26</v>
      </c>
      <c r="W18" s="10">
        <v>8.7840000000000007</v>
      </c>
      <c r="X18" s="10">
        <v>6</v>
      </c>
      <c r="Y18" s="10">
        <v>2.7280000000000002</v>
      </c>
      <c r="Z18" s="10">
        <v>4.54</v>
      </c>
      <c r="AA18" s="10">
        <v>0.86</v>
      </c>
      <c r="AB18" s="10">
        <v>52.83</v>
      </c>
      <c r="AC18" s="10">
        <v>85.5</v>
      </c>
      <c r="AD18" s="10">
        <v>53.26</v>
      </c>
      <c r="AE18" s="10">
        <v>58.42</v>
      </c>
      <c r="AF18" s="10">
        <v>90.16</v>
      </c>
      <c r="AG18" s="10">
        <v>52.26</v>
      </c>
      <c r="AH18" s="10">
        <v>19.100000000000001</v>
      </c>
      <c r="AI18" s="10">
        <v>0.17</v>
      </c>
      <c r="AJ18" s="10">
        <v>110.47</v>
      </c>
      <c r="AK18"/>
      <c r="AL18"/>
    </row>
    <row r="19" spans="1:38" x14ac:dyDescent="0.35">
      <c r="A19" s="3">
        <v>21</v>
      </c>
      <c r="B19" s="3">
        <v>9</v>
      </c>
      <c r="C19" s="3">
        <v>5</v>
      </c>
      <c r="D19" s="3">
        <v>10</v>
      </c>
      <c r="E19" s="3">
        <v>81</v>
      </c>
      <c r="F19" s="3">
        <v>1282.23</v>
      </c>
      <c r="G19" s="4">
        <f t="shared" si="0"/>
        <v>1.28223</v>
      </c>
      <c r="H19" s="4">
        <f t="shared" si="6"/>
        <v>91.038330000000002</v>
      </c>
      <c r="I19" s="3">
        <v>71</v>
      </c>
      <c r="J19" s="4">
        <f t="shared" si="4"/>
        <v>1.5549999999999999</v>
      </c>
      <c r="K19" s="5">
        <v>777.5</v>
      </c>
      <c r="L19" s="6">
        <f t="shared" si="7"/>
        <v>0.77749999999999997</v>
      </c>
      <c r="M19" s="5">
        <v>2</v>
      </c>
      <c r="N19" s="4">
        <f t="shared" si="5"/>
        <v>1.6140000000000001</v>
      </c>
      <c r="O19" s="37">
        <v>807</v>
      </c>
      <c r="P19" s="38">
        <f t="shared" si="1"/>
        <v>0.80700000000000005</v>
      </c>
      <c r="Q19" s="37">
        <v>2</v>
      </c>
      <c r="R19" s="4">
        <f t="shared" si="2"/>
        <v>0</v>
      </c>
      <c r="S19" s="7">
        <v>0</v>
      </c>
      <c r="T19" s="8">
        <f t="shared" si="3"/>
        <v>0</v>
      </c>
      <c r="U19" s="7">
        <v>0</v>
      </c>
      <c r="V19" s="13">
        <v>23.5</v>
      </c>
      <c r="W19" s="10">
        <v>11.295</v>
      </c>
      <c r="X19" s="10">
        <v>5.1059999999999999</v>
      </c>
      <c r="Y19" s="10">
        <v>3.157</v>
      </c>
      <c r="Z19" s="10">
        <v>3.52</v>
      </c>
      <c r="AA19" s="10">
        <v>0.78</v>
      </c>
      <c r="AB19" s="10">
        <v>87</v>
      </c>
      <c r="AC19" s="10">
        <v>88.3</v>
      </c>
      <c r="AD19" s="10">
        <v>56.65</v>
      </c>
      <c r="AE19" s="10">
        <v>73.97</v>
      </c>
      <c r="AF19" s="10">
        <v>95.67</v>
      </c>
      <c r="AG19" s="10">
        <v>50.59</v>
      </c>
      <c r="AH19" s="10">
        <v>13.8</v>
      </c>
      <c r="AI19" s="10">
        <v>0.18</v>
      </c>
      <c r="AJ19" s="10">
        <v>76.349999999999994</v>
      </c>
      <c r="AK19"/>
    </row>
    <row r="20" spans="1:38" x14ac:dyDescent="0.35">
      <c r="A20" s="3">
        <v>22</v>
      </c>
      <c r="B20" s="3">
        <v>9</v>
      </c>
      <c r="C20" s="3">
        <v>5</v>
      </c>
      <c r="D20" s="3">
        <v>2</v>
      </c>
      <c r="E20" s="3">
        <v>81</v>
      </c>
      <c r="F20" s="3">
        <v>1271.05</v>
      </c>
      <c r="G20" s="4">
        <f t="shared" si="0"/>
        <v>1.27105</v>
      </c>
      <c r="H20" s="4">
        <f t="shared" si="6"/>
        <v>88.973500000000001</v>
      </c>
      <c r="I20" s="3">
        <v>70</v>
      </c>
      <c r="J20" s="4">
        <f t="shared" si="4"/>
        <v>5.2919999999999998</v>
      </c>
      <c r="K20" s="5">
        <v>529.20000000000005</v>
      </c>
      <c r="L20" s="6">
        <f t="shared" si="7"/>
        <v>0.5292</v>
      </c>
      <c r="M20" s="5">
        <v>10</v>
      </c>
      <c r="N20" s="4">
        <f t="shared" si="5"/>
        <v>2.0190000000000001</v>
      </c>
      <c r="O20" s="37">
        <v>1009.5</v>
      </c>
      <c r="P20" s="38">
        <f t="shared" si="1"/>
        <v>1.0095000000000001</v>
      </c>
      <c r="Q20" s="37">
        <v>2</v>
      </c>
      <c r="R20" s="4">
        <f t="shared" si="2"/>
        <v>0</v>
      </c>
      <c r="S20" s="7">
        <v>0</v>
      </c>
      <c r="T20" s="8">
        <f t="shared" si="3"/>
        <v>0</v>
      </c>
      <c r="U20" s="7">
        <v>0</v>
      </c>
      <c r="V20" s="13">
        <v>24.9</v>
      </c>
      <c r="W20" s="10">
        <v>10.565999999999999</v>
      </c>
      <c r="X20" s="10">
        <v>4.9990000000000006</v>
      </c>
      <c r="Y20" s="10">
        <v>3.0449999999999999</v>
      </c>
      <c r="Z20" s="10">
        <v>4.71</v>
      </c>
      <c r="AA20" s="10">
        <v>0.97</v>
      </c>
      <c r="AB20" s="10">
        <v>74.69</v>
      </c>
      <c r="AC20" s="10">
        <v>86.47</v>
      </c>
      <c r="AD20" s="10">
        <v>47.8</v>
      </c>
      <c r="AE20" s="10">
        <v>68.55</v>
      </c>
      <c r="AF20" s="10">
        <v>93.11</v>
      </c>
      <c r="AG20" s="10">
        <v>44.71</v>
      </c>
      <c r="AH20" s="10">
        <v>13.3</v>
      </c>
      <c r="AI20" s="10">
        <v>0.17</v>
      </c>
      <c r="AJ20" s="10">
        <v>78.8</v>
      </c>
      <c r="AK20"/>
    </row>
    <row r="21" spans="1:38" x14ac:dyDescent="0.35">
      <c r="A21" s="3">
        <v>23</v>
      </c>
      <c r="B21" s="3">
        <v>1</v>
      </c>
      <c r="C21" s="3">
        <v>5</v>
      </c>
      <c r="D21" s="3">
        <v>6</v>
      </c>
      <c r="E21" s="3">
        <v>5</v>
      </c>
      <c r="F21" s="3">
        <v>1128.1400000000001</v>
      </c>
      <c r="G21" s="4">
        <f t="shared" si="0"/>
        <v>1.1281400000000001</v>
      </c>
      <c r="H21" s="4">
        <f t="shared" si="6"/>
        <v>83.482360000000014</v>
      </c>
      <c r="I21" s="3">
        <v>74</v>
      </c>
      <c r="J21" s="4">
        <f t="shared" si="4"/>
        <v>1.7648999999999999</v>
      </c>
      <c r="K21" s="5">
        <v>588.29999999999995</v>
      </c>
      <c r="L21" s="6">
        <f t="shared" si="7"/>
        <v>0.58829999999999993</v>
      </c>
      <c r="M21" s="5">
        <v>3</v>
      </c>
      <c r="N21" s="4">
        <f t="shared" si="5"/>
        <v>1.0669999999999999</v>
      </c>
      <c r="O21" s="37">
        <v>1067</v>
      </c>
      <c r="P21" s="38">
        <f t="shared" si="1"/>
        <v>1.0669999999999999</v>
      </c>
      <c r="Q21" s="37">
        <v>1</v>
      </c>
      <c r="R21" s="4">
        <f t="shared" si="2"/>
        <v>0</v>
      </c>
      <c r="S21" s="7">
        <v>0</v>
      </c>
      <c r="T21" s="8">
        <f t="shared" si="3"/>
        <v>0</v>
      </c>
      <c r="U21" s="7">
        <v>0</v>
      </c>
      <c r="V21" s="13">
        <v>22.84</v>
      </c>
      <c r="W21" s="10">
        <v>9.7050000000000001</v>
      </c>
      <c r="X21" s="10">
        <v>4.3540000000000001</v>
      </c>
      <c r="Y21" s="10">
        <v>2.8420000000000001</v>
      </c>
      <c r="Z21" s="10">
        <v>4.16</v>
      </c>
      <c r="AA21" s="10">
        <v>0.6</v>
      </c>
      <c r="AB21" s="10">
        <v>82.68</v>
      </c>
      <c r="AC21" s="10">
        <v>83.16</v>
      </c>
      <c r="AD21" s="10">
        <v>53.79</v>
      </c>
      <c r="AE21" s="10">
        <v>75.819999999999993</v>
      </c>
      <c r="AF21" s="10">
        <v>89.44</v>
      </c>
      <c r="AG21" s="10">
        <v>49.49</v>
      </c>
      <c r="AH21" s="10">
        <v>14</v>
      </c>
      <c r="AI21" s="10">
        <v>0.17</v>
      </c>
      <c r="AJ21" s="10">
        <v>81.069999999999993</v>
      </c>
    </row>
    <row r="22" spans="1:38" x14ac:dyDescent="0.35">
      <c r="A22" s="3">
        <v>24</v>
      </c>
      <c r="B22" s="3">
        <v>4</v>
      </c>
      <c r="C22" s="3">
        <v>5</v>
      </c>
      <c r="D22" s="3">
        <v>10</v>
      </c>
      <c r="E22" s="3">
        <v>47</v>
      </c>
      <c r="F22" s="3">
        <v>1195.6600000000001</v>
      </c>
      <c r="G22" s="4">
        <f t="shared" si="0"/>
        <v>1.1956600000000002</v>
      </c>
      <c r="H22" s="4">
        <f t="shared" si="6"/>
        <v>81.304880000000011</v>
      </c>
      <c r="I22" s="3">
        <v>68</v>
      </c>
      <c r="J22" s="4">
        <f t="shared" si="4"/>
        <v>3.3799799999999998</v>
      </c>
      <c r="K22" s="5">
        <v>563.33000000000004</v>
      </c>
      <c r="L22" s="6">
        <f t="shared" si="7"/>
        <v>0.56333</v>
      </c>
      <c r="M22" s="5">
        <v>6</v>
      </c>
      <c r="N22" s="4">
        <f t="shared" si="5"/>
        <v>1.9590000000000001</v>
      </c>
      <c r="O22" s="37">
        <v>979.5</v>
      </c>
      <c r="P22" s="38">
        <f t="shared" si="1"/>
        <v>0.97950000000000004</v>
      </c>
      <c r="Q22" s="37">
        <v>2</v>
      </c>
      <c r="R22" s="4">
        <f t="shared" si="2"/>
        <v>7.6890000000000001</v>
      </c>
      <c r="S22" s="7">
        <v>1537.8</v>
      </c>
      <c r="T22" s="8">
        <f t="shared" si="3"/>
        <v>1.5378000000000001</v>
      </c>
      <c r="U22" s="7">
        <v>5</v>
      </c>
      <c r="V22" s="13">
        <v>24.43</v>
      </c>
      <c r="W22" s="10">
        <v>10.587999999999999</v>
      </c>
      <c r="X22" s="10">
        <v>5.069</v>
      </c>
      <c r="Y22" s="10">
        <v>2.8460000000000001</v>
      </c>
      <c r="Z22" s="10">
        <v>6.62</v>
      </c>
      <c r="AA22" s="10">
        <v>1.0900000000000001</v>
      </c>
      <c r="AB22" s="10">
        <v>79.53</v>
      </c>
      <c r="AC22" s="10">
        <v>84.23</v>
      </c>
      <c r="AD22" s="10">
        <v>50.89</v>
      </c>
      <c r="AE22" s="10">
        <v>77.510000000000005</v>
      </c>
      <c r="AF22" s="10">
        <v>89.04</v>
      </c>
      <c r="AG22" s="10">
        <v>50.38</v>
      </c>
      <c r="AH22" s="10">
        <v>11.1</v>
      </c>
      <c r="AI22" s="10">
        <v>0.17</v>
      </c>
      <c r="AJ22" s="10">
        <v>65.25</v>
      </c>
    </row>
    <row r="23" spans="1:38" x14ac:dyDescent="0.35">
      <c r="A23" s="3">
        <v>25</v>
      </c>
      <c r="B23" s="3">
        <v>8</v>
      </c>
      <c r="C23" s="3">
        <v>5</v>
      </c>
      <c r="D23" s="3">
        <v>5</v>
      </c>
      <c r="E23" s="3">
        <v>80</v>
      </c>
      <c r="F23" s="3">
        <v>1456.4</v>
      </c>
      <c r="G23" s="4">
        <f t="shared" si="0"/>
        <v>1.4564000000000001</v>
      </c>
      <c r="H23" s="4">
        <f t="shared" si="6"/>
        <v>101.94800000000001</v>
      </c>
      <c r="I23" s="3">
        <v>70</v>
      </c>
      <c r="J23" s="4">
        <f t="shared" si="4"/>
        <v>6.5179799999999997</v>
      </c>
      <c r="K23" s="5">
        <v>931.14</v>
      </c>
      <c r="L23" s="6">
        <f t="shared" si="7"/>
        <v>0.93113999999999997</v>
      </c>
      <c r="M23" s="5">
        <v>7</v>
      </c>
      <c r="N23" s="4">
        <f t="shared" si="5"/>
        <v>7.1689999999999996</v>
      </c>
      <c r="O23" s="37">
        <v>1433.8</v>
      </c>
      <c r="P23" s="38">
        <f t="shared" si="1"/>
        <v>1.4338</v>
      </c>
      <c r="Q23" s="37">
        <v>5</v>
      </c>
      <c r="R23" s="4">
        <f t="shared" si="2"/>
        <v>2</v>
      </c>
      <c r="S23" s="7">
        <v>2000</v>
      </c>
      <c r="T23" s="8">
        <f t="shared" si="3"/>
        <v>2</v>
      </c>
      <c r="U23" s="7">
        <v>1</v>
      </c>
      <c r="V23" s="13">
        <v>26.8</v>
      </c>
      <c r="W23" s="10">
        <v>9.5920000000000005</v>
      </c>
      <c r="X23" s="10">
        <v>4.4090000000000007</v>
      </c>
      <c r="Y23" s="10">
        <v>2.5720000000000001</v>
      </c>
      <c r="Z23" s="10">
        <v>3.22</v>
      </c>
      <c r="AA23" s="10">
        <v>0.87</v>
      </c>
      <c r="AB23" s="10">
        <v>74.89</v>
      </c>
      <c r="AC23" s="10">
        <v>82.46</v>
      </c>
      <c r="AD23" s="10">
        <v>51.67</v>
      </c>
      <c r="AE23" s="10">
        <v>80.55</v>
      </c>
      <c r="AF23" s="10">
        <v>82.37</v>
      </c>
      <c r="AG23" s="10">
        <v>50.96</v>
      </c>
      <c r="AH23" s="10">
        <v>12.4</v>
      </c>
      <c r="AI23" s="10">
        <v>0.13</v>
      </c>
      <c r="AJ23" s="10">
        <v>95.17</v>
      </c>
    </row>
    <row r="24" spans="1:38" x14ac:dyDescent="0.35">
      <c r="A24" s="3">
        <v>26</v>
      </c>
      <c r="B24" s="3">
        <v>7</v>
      </c>
      <c r="C24" s="3">
        <v>5</v>
      </c>
      <c r="D24" s="3">
        <v>6</v>
      </c>
      <c r="E24" s="3">
        <v>71</v>
      </c>
      <c r="F24" s="3">
        <v>1424.47</v>
      </c>
      <c r="G24" s="4">
        <f t="shared" si="0"/>
        <v>1.4244700000000001</v>
      </c>
      <c r="H24" s="4">
        <f t="shared" si="6"/>
        <v>81.194790000000012</v>
      </c>
      <c r="I24" s="3">
        <v>57</v>
      </c>
      <c r="J24" s="4">
        <f t="shared" si="4"/>
        <v>3.9870000000000001</v>
      </c>
      <c r="K24" s="5">
        <v>797.4</v>
      </c>
      <c r="L24" s="6">
        <f t="shared" si="7"/>
        <v>0.7974</v>
      </c>
      <c r="M24" s="5">
        <v>5</v>
      </c>
      <c r="N24" s="4">
        <f t="shared" si="5"/>
        <v>1.772</v>
      </c>
      <c r="O24" s="37">
        <v>886</v>
      </c>
      <c r="P24" s="38">
        <f t="shared" si="1"/>
        <v>0.88600000000000001</v>
      </c>
      <c r="Q24" s="37">
        <v>2</v>
      </c>
      <c r="R24" s="4">
        <f t="shared" si="2"/>
        <v>0.5</v>
      </c>
      <c r="S24" s="7">
        <v>500</v>
      </c>
      <c r="T24" s="8">
        <f t="shared" si="3"/>
        <v>0.5</v>
      </c>
      <c r="U24" s="7">
        <v>1</v>
      </c>
      <c r="V24" s="13">
        <v>25.44</v>
      </c>
      <c r="W24" s="10">
        <v>11.27</v>
      </c>
      <c r="X24" s="10">
        <v>5.9020000000000001</v>
      </c>
      <c r="Y24" s="10">
        <v>3.2450000000000001</v>
      </c>
      <c r="Z24" s="10">
        <v>2.64</v>
      </c>
      <c r="AA24" s="10">
        <v>0.56999999999999995</v>
      </c>
      <c r="AB24" s="10">
        <v>72.7</v>
      </c>
      <c r="AC24" s="10">
        <v>87.17</v>
      </c>
      <c r="AD24" s="10">
        <v>47.16</v>
      </c>
      <c r="AE24" s="10">
        <v>74.180000000000007</v>
      </c>
      <c r="AF24" s="10">
        <v>82.11</v>
      </c>
      <c r="AG24" s="10">
        <v>44.42</v>
      </c>
      <c r="AH24" s="10">
        <v>15.1</v>
      </c>
      <c r="AI24" s="10">
        <v>0.15</v>
      </c>
      <c r="AJ24" s="10">
        <v>101.38</v>
      </c>
    </row>
    <row r="25" spans="1:38" x14ac:dyDescent="0.35">
      <c r="A25" s="3">
        <v>27</v>
      </c>
      <c r="B25" s="3">
        <v>2</v>
      </c>
      <c r="C25" s="3">
        <v>5</v>
      </c>
      <c r="D25" s="3">
        <v>7</v>
      </c>
      <c r="E25" s="3">
        <v>11</v>
      </c>
      <c r="F25" s="3">
        <v>1067.68</v>
      </c>
      <c r="G25" s="4">
        <f t="shared" si="0"/>
        <v>1.06768</v>
      </c>
      <c r="H25" s="4">
        <f t="shared" si="6"/>
        <v>46.977919999999997</v>
      </c>
      <c r="I25" s="3">
        <v>44</v>
      </c>
      <c r="J25" s="4">
        <f t="shared" si="4"/>
        <v>2.3250000000000002</v>
      </c>
      <c r="K25" s="5">
        <v>775</v>
      </c>
      <c r="L25" s="6">
        <f t="shared" si="7"/>
        <v>0.77500000000000002</v>
      </c>
      <c r="M25" s="5">
        <v>3</v>
      </c>
      <c r="N25" s="4">
        <f t="shared" si="5"/>
        <v>0.27500000000000002</v>
      </c>
      <c r="O25" s="37">
        <v>275</v>
      </c>
      <c r="P25" s="38">
        <f t="shared" si="1"/>
        <v>0.27500000000000002</v>
      </c>
      <c r="Q25" s="37">
        <v>1</v>
      </c>
      <c r="R25" s="4">
        <f t="shared" si="2"/>
        <v>3.6</v>
      </c>
      <c r="S25" s="7">
        <v>1800</v>
      </c>
      <c r="T25" s="8">
        <f t="shared" si="3"/>
        <v>1.8</v>
      </c>
      <c r="U25" s="7">
        <v>2</v>
      </c>
      <c r="V25" s="13">
        <v>26.24</v>
      </c>
      <c r="W25" s="10">
        <v>11.184000000000001</v>
      </c>
      <c r="X25" s="10">
        <v>6.0350000000000001</v>
      </c>
      <c r="Y25" s="10">
        <v>3.9590000000000005</v>
      </c>
      <c r="Z25" s="10">
        <v>4.5199999999999996</v>
      </c>
      <c r="AA25" s="10">
        <v>1.1200000000000001</v>
      </c>
      <c r="AB25" s="10">
        <v>79.39</v>
      </c>
      <c r="AC25" s="10">
        <v>89.07</v>
      </c>
      <c r="AD25" s="10">
        <v>50.55</v>
      </c>
      <c r="AE25" s="10">
        <v>69.5</v>
      </c>
      <c r="AF25" s="10">
        <v>92.85</v>
      </c>
      <c r="AG25" s="10">
        <v>45.39</v>
      </c>
      <c r="AH25" s="10">
        <v>14.4</v>
      </c>
      <c r="AI25" s="10">
        <v>0.17</v>
      </c>
      <c r="AJ25" s="10">
        <v>87.02</v>
      </c>
    </row>
    <row r="26" spans="1:38" x14ac:dyDescent="0.35">
      <c r="A26" s="3">
        <v>28</v>
      </c>
      <c r="B26" s="3">
        <v>8</v>
      </c>
      <c r="C26" s="3">
        <v>5</v>
      </c>
      <c r="D26" s="3">
        <v>9</v>
      </c>
      <c r="E26" s="3">
        <v>80</v>
      </c>
      <c r="F26" s="3">
        <v>1323.58</v>
      </c>
      <c r="G26" s="4">
        <f t="shared" si="0"/>
        <v>1.32358</v>
      </c>
      <c r="H26" s="4">
        <f t="shared" si="6"/>
        <v>31.765920000000001</v>
      </c>
      <c r="I26" s="3">
        <v>24</v>
      </c>
      <c r="J26" s="4">
        <f t="shared" si="4"/>
        <v>4.1419800000000002</v>
      </c>
      <c r="K26" s="5">
        <v>690.33</v>
      </c>
      <c r="L26" s="6">
        <f t="shared" si="7"/>
        <v>0.69033</v>
      </c>
      <c r="M26" s="5">
        <v>6</v>
      </c>
      <c r="N26" s="4">
        <f t="shared" si="5"/>
        <v>7.4579999999999993</v>
      </c>
      <c r="O26" s="37">
        <v>1491.6</v>
      </c>
      <c r="P26" s="38">
        <f t="shared" si="1"/>
        <v>1.4915999999999998</v>
      </c>
      <c r="Q26" s="37">
        <v>5</v>
      </c>
      <c r="R26" s="4">
        <f t="shared" si="2"/>
        <v>0</v>
      </c>
      <c r="S26" s="7">
        <v>0</v>
      </c>
      <c r="T26" s="8">
        <f t="shared" si="3"/>
        <v>0</v>
      </c>
      <c r="U26" s="7">
        <v>0</v>
      </c>
      <c r="V26" s="13">
        <v>24.74</v>
      </c>
      <c r="W26" s="10">
        <v>10.433</v>
      </c>
      <c r="X26" s="10">
        <v>4.4859999999999998</v>
      </c>
      <c r="Y26" s="10">
        <v>2.9079999999999999</v>
      </c>
      <c r="Z26" s="10">
        <v>5.17</v>
      </c>
      <c r="AA26" s="10">
        <v>1.07</v>
      </c>
      <c r="AB26" s="10">
        <v>74.81</v>
      </c>
      <c r="AC26" s="10">
        <v>71.040000000000006</v>
      </c>
      <c r="AD26" s="10">
        <v>46.55</v>
      </c>
      <c r="AE26" s="10">
        <v>67.22</v>
      </c>
      <c r="AF26" s="10">
        <v>76.47</v>
      </c>
      <c r="AG26" s="10">
        <v>43.56</v>
      </c>
      <c r="AH26" s="10">
        <v>13.7</v>
      </c>
      <c r="AI26" s="10">
        <v>0.15</v>
      </c>
      <c r="AJ26" s="10">
        <v>91.47</v>
      </c>
    </row>
    <row r="27" spans="1:38" x14ac:dyDescent="0.35">
      <c r="A27" s="3">
        <v>29</v>
      </c>
      <c r="B27" s="3">
        <v>8</v>
      </c>
      <c r="C27" s="3">
        <v>5</v>
      </c>
      <c r="D27" s="3">
        <v>3</v>
      </c>
      <c r="E27" s="3">
        <v>80</v>
      </c>
      <c r="F27" s="3">
        <v>1493.95</v>
      </c>
      <c r="G27" s="4">
        <f t="shared" si="0"/>
        <v>1.4939500000000001</v>
      </c>
      <c r="H27" s="4">
        <f t="shared" si="6"/>
        <v>109.05835</v>
      </c>
      <c r="I27" s="3">
        <v>73</v>
      </c>
      <c r="J27" s="4">
        <f t="shared" si="4"/>
        <v>0</v>
      </c>
      <c r="K27" s="5">
        <v>0</v>
      </c>
      <c r="L27" s="6">
        <f t="shared" si="7"/>
        <v>0</v>
      </c>
      <c r="M27" s="5">
        <v>0</v>
      </c>
      <c r="N27" s="4">
        <f t="shared" si="5"/>
        <v>3.819</v>
      </c>
      <c r="O27" s="37">
        <v>1273</v>
      </c>
      <c r="P27" s="38">
        <f t="shared" si="1"/>
        <v>1.2729999999999999</v>
      </c>
      <c r="Q27" s="37">
        <v>3</v>
      </c>
      <c r="R27" s="4">
        <f t="shared" si="2"/>
        <v>10.709</v>
      </c>
      <c r="S27" s="7">
        <v>2677.25</v>
      </c>
      <c r="T27" s="8">
        <f t="shared" si="3"/>
        <v>2.6772499999999999</v>
      </c>
      <c r="U27" s="7">
        <v>4</v>
      </c>
      <c r="V27" s="13">
        <v>22.96</v>
      </c>
      <c r="W27" s="10">
        <v>12.132999999999999</v>
      </c>
      <c r="X27" s="10">
        <v>6.484</v>
      </c>
      <c r="Y27" s="10">
        <v>4.1479999999999997</v>
      </c>
      <c r="Z27" s="10">
        <v>3.04</v>
      </c>
      <c r="AA27" s="10">
        <v>0.85</v>
      </c>
      <c r="AB27" s="10">
        <v>77.349999999999994</v>
      </c>
      <c r="AC27" s="10">
        <v>95.92</v>
      </c>
      <c r="AD27" s="10">
        <v>52.69</v>
      </c>
      <c r="AE27" s="10">
        <v>83.84</v>
      </c>
      <c r="AF27" s="10">
        <v>95.31</v>
      </c>
      <c r="AG27" s="10">
        <v>55.03</v>
      </c>
      <c r="AH27" s="10">
        <v>12.7</v>
      </c>
      <c r="AI27" s="10">
        <v>0.18</v>
      </c>
      <c r="AJ27" s="10">
        <v>69.680000000000007</v>
      </c>
    </row>
    <row r="28" spans="1:38" x14ac:dyDescent="0.35">
      <c r="A28" s="3">
        <v>30</v>
      </c>
      <c r="B28" s="3">
        <v>5</v>
      </c>
      <c r="C28" s="3">
        <v>5</v>
      </c>
      <c r="D28" s="3">
        <v>6</v>
      </c>
      <c r="E28" s="3">
        <v>54</v>
      </c>
      <c r="F28" s="3">
        <v>1254.43</v>
      </c>
      <c r="G28" s="4">
        <f t="shared" si="0"/>
        <v>1.2544300000000002</v>
      </c>
      <c r="H28" s="4">
        <f t="shared" si="6"/>
        <v>107.88098000000001</v>
      </c>
      <c r="I28" s="3">
        <v>86</v>
      </c>
      <c r="J28" s="4">
        <f t="shared" si="4"/>
        <v>3.26898</v>
      </c>
      <c r="K28" s="5">
        <v>1089.6600000000001</v>
      </c>
      <c r="L28" s="6">
        <f t="shared" si="7"/>
        <v>1.0896600000000001</v>
      </c>
      <c r="M28" s="5">
        <v>3</v>
      </c>
      <c r="N28" s="4">
        <f t="shared" si="5"/>
        <v>3.0699900000000002</v>
      </c>
      <c r="O28" s="37">
        <v>1023.33</v>
      </c>
      <c r="P28" s="38">
        <f t="shared" si="1"/>
        <v>1.0233300000000001</v>
      </c>
      <c r="Q28" s="37">
        <v>3</v>
      </c>
      <c r="R28" s="4">
        <f t="shared" si="2"/>
        <v>2.879</v>
      </c>
      <c r="S28" s="7">
        <v>1439.5</v>
      </c>
      <c r="T28" s="8">
        <f t="shared" si="3"/>
        <v>1.4395</v>
      </c>
      <c r="U28" s="7">
        <v>2</v>
      </c>
      <c r="V28" s="13">
        <v>24.43</v>
      </c>
      <c r="W28" s="10">
        <v>9.8859999999999992</v>
      </c>
      <c r="X28" s="10">
        <v>4.6440000000000001</v>
      </c>
      <c r="Y28" s="10">
        <v>2.5010000000000003</v>
      </c>
      <c r="Z28" s="10">
        <v>3.24</v>
      </c>
      <c r="AA28" s="10">
        <v>0.92</v>
      </c>
      <c r="AB28" s="10">
        <v>73.44</v>
      </c>
      <c r="AC28" s="10">
        <v>94.5</v>
      </c>
      <c r="AD28" s="10">
        <v>48.24</v>
      </c>
      <c r="AE28" s="10">
        <v>67.09</v>
      </c>
      <c r="AF28" s="10">
        <v>89.78</v>
      </c>
      <c r="AG28" s="10">
        <v>44.52</v>
      </c>
      <c r="AH28" s="10">
        <v>12.6</v>
      </c>
      <c r="AI28" s="10">
        <v>0.18</v>
      </c>
      <c r="AJ28" s="10">
        <v>71.95</v>
      </c>
    </row>
    <row r="29" spans="1:38" x14ac:dyDescent="0.35">
      <c r="A29" s="3">
        <v>31</v>
      </c>
      <c r="B29" s="3">
        <v>1</v>
      </c>
      <c r="C29" s="3">
        <v>5</v>
      </c>
      <c r="D29" s="3">
        <v>8</v>
      </c>
      <c r="E29" s="3">
        <v>5</v>
      </c>
      <c r="F29" s="3">
        <v>1309.75</v>
      </c>
      <c r="G29" s="4">
        <f t="shared" si="0"/>
        <v>1.30975</v>
      </c>
      <c r="H29" s="4">
        <f t="shared" si="6"/>
        <v>81.204499999999996</v>
      </c>
      <c r="I29" s="3">
        <v>62</v>
      </c>
      <c r="J29" s="4">
        <f t="shared" si="4"/>
        <v>0</v>
      </c>
      <c r="K29" s="5">
        <v>0</v>
      </c>
      <c r="L29" s="6">
        <f t="shared" si="7"/>
        <v>0</v>
      </c>
      <c r="M29" s="5">
        <v>0</v>
      </c>
      <c r="N29" s="4">
        <f t="shared" si="5"/>
        <v>1.2450000000000001</v>
      </c>
      <c r="O29" s="37">
        <v>1245</v>
      </c>
      <c r="P29" s="38">
        <f t="shared" si="1"/>
        <v>1.2450000000000001</v>
      </c>
      <c r="Q29" s="37">
        <v>1</v>
      </c>
      <c r="R29" s="4">
        <f t="shared" si="2"/>
        <v>0</v>
      </c>
      <c r="S29" s="7">
        <v>0</v>
      </c>
      <c r="T29" s="8">
        <f t="shared" si="3"/>
        <v>0</v>
      </c>
      <c r="U29" s="7">
        <v>0</v>
      </c>
      <c r="V29" s="13">
        <v>22.26</v>
      </c>
      <c r="W29" s="10">
        <v>9.91</v>
      </c>
      <c r="X29" s="10">
        <v>4.5969999999999995</v>
      </c>
      <c r="Y29" s="10">
        <v>2.7770000000000001</v>
      </c>
      <c r="Z29" s="10">
        <v>3.26</v>
      </c>
      <c r="AA29" s="10">
        <v>0.77</v>
      </c>
      <c r="AB29" s="10">
        <v>72.010000000000005</v>
      </c>
      <c r="AC29" s="10">
        <v>87.83</v>
      </c>
      <c r="AD29" s="10">
        <v>47.22</v>
      </c>
      <c r="AE29" s="10">
        <v>67.7</v>
      </c>
      <c r="AF29" s="10">
        <v>95.01</v>
      </c>
      <c r="AG29" s="10">
        <v>44.53</v>
      </c>
      <c r="AH29" s="10">
        <v>13.3</v>
      </c>
      <c r="AI29" s="10">
        <v>0.18</v>
      </c>
      <c r="AJ29" s="10">
        <v>78.47</v>
      </c>
    </row>
    <row r="30" spans="1:38" x14ac:dyDescent="0.35">
      <c r="A30" s="3">
        <v>32</v>
      </c>
      <c r="B30" s="3">
        <v>10</v>
      </c>
      <c r="C30" s="3">
        <v>5</v>
      </c>
      <c r="D30" s="3">
        <v>4</v>
      </c>
      <c r="E30" s="3">
        <v>98</v>
      </c>
      <c r="F30" s="3">
        <v>1153.57</v>
      </c>
      <c r="G30" s="4">
        <f t="shared" si="0"/>
        <v>1.15357</v>
      </c>
      <c r="H30" s="4">
        <f t="shared" si="6"/>
        <v>24.224969999999999</v>
      </c>
      <c r="I30" s="3">
        <v>21</v>
      </c>
      <c r="J30" s="4">
        <f t="shared" si="4"/>
        <v>0.4</v>
      </c>
      <c r="K30" s="5">
        <v>400</v>
      </c>
      <c r="L30" s="6">
        <f t="shared" si="7"/>
        <v>0.4</v>
      </c>
      <c r="M30" s="5">
        <v>1</v>
      </c>
      <c r="N30" s="4">
        <f t="shared" si="5"/>
        <v>3.488</v>
      </c>
      <c r="O30" s="37">
        <v>872</v>
      </c>
      <c r="P30" s="38">
        <f t="shared" si="1"/>
        <v>0.872</v>
      </c>
      <c r="Q30" s="37">
        <v>4</v>
      </c>
      <c r="R30" s="4">
        <f t="shared" si="2"/>
        <v>2.855</v>
      </c>
      <c r="S30" s="7">
        <v>1427.5</v>
      </c>
      <c r="T30" s="8">
        <f t="shared" si="3"/>
        <v>1.4275</v>
      </c>
      <c r="U30" s="7">
        <v>2</v>
      </c>
      <c r="V30" s="13">
        <v>24.12</v>
      </c>
      <c r="W30" s="10">
        <v>10.404</v>
      </c>
      <c r="X30" s="10">
        <v>5.3710000000000004</v>
      </c>
      <c r="Y30" s="10">
        <v>4.5679999999999996</v>
      </c>
      <c r="Z30" s="10">
        <v>3.47</v>
      </c>
      <c r="AA30" s="10">
        <v>0.9</v>
      </c>
      <c r="AB30" s="10">
        <v>83.44</v>
      </c>
      <c r="AC30" s="10">
        <v>88.97</v>
      </c>
      <c r="AD30" s="10">
        <v>53.09</v>
      </c>
      <c r="AE30" s="10">
        <v>77.47</v>
      </c>
      <c r="AF30" s="10">
        <v>87.99</v>
      </c>
      <c r="AG30" s="10">
        <v>57.46</v>
      </c>
      <c r="AH30" s="10">
        <v>13</v>
      </c>
      <c r="AI30" s="10">
        <v>0.18</v>
      </c>
      <c r="AJ30" s="10">
        <v>72.33</v>
      </c>
    </row>
    <row r="31" spans="1:38" x14ac:dyDescent="0.35">
      <c r="A31" s="3">
        <v>33</v>
      </c>
      <c r="B31" s="3">
        <v>2</v>
      </c>
      <c r="C31" s="3">
        <v>5</v>
      </c>
      <c r="D31" s="3">
        <v>5</v>
      </c>
      <c r="E31" s="3">
        <v>11</v>
      </c>
      <c r="F31" s="3">
        <v>942.09</v>
      </c>
      <c r="G31" s="4">
        <f t="shared" si="0"/>
        <v>0.94208999999999998</v>
      </c>
      <c r="H31" s="4">
        <f t="shared" si="6"/>
        <v>48.988680000000002</v>
      </c>
      <c r="I31" s="3">
        <v>52</v>
      </c>
      <c r="J31" s="4">
        <f t="shared" si="4"/>
        <v>1.6060000000000001</v>
      </c>
      <c r="K31" s="5">
        <v>401.5</v>
      </c>
      <c r="L31" s="6">
        <f t="shared" si="7"/>
        <v>0.40150000000000002</v>
      </c>
      <c r="M31" s="5">
        <v>4</v>
      </c>
      <c r="N31" s="4">
        <f t="shared" si="5"/>
        <v>0</v>
      </c>
      <c r="O31" s="37">
        <v>0</v>
      </c>
      <c r="P31" s="38">
        <f t="shared" si="1"/>
        <v>0</v>
      </c>
      <c r="Q31" s="37">
        <v>0</v>
      </c>
      <c r="R31" s="4">
        <f t="shared" si="2"/>
        <v>0</v>
      </c>
      <c r="S31" s="7">
        <v>0</v>
      </c>
      <c r="T31" s="8">
        <f t="shared" si="3"/>
        <v>0</v>
      </c>
      <c r="U31" s="7">
        <v>0</v>
      </c>
      <c r="V31" s="13">
        <v>21.3</v>
      </c>
      <c r="W31" s="10">
        <v>8.4510000000000005</v>
      </c>
      <c r="X31" s="10">
        <v>2.9980000000000002</v>
      </c>
      <c r="Y31" s="10">
        <v>2.6629999999999998</v>
      </c>
      <c r="Z31" s="10">
        <v>3.54</v>
      </c>
      <c r="AA31" s="10">
        <v>1.29</v>
      </c>
      <c r="AB31" s="10">
        <v>74.44</v>
      </c>
      <c r="AC31" s="10">
        <v>87.03</v>
      </c>
      <c r="AD31" s="10">
        <v>48.7</v>
      </c>
      <c r="AE31" s="10">
        <v>64.59</v>
      </c>
      <c r="AF31" s="10">
        <v>91.82</v>
      </c>
      <c r="AG31" s="10">
        <v>41.95</v>
      </c>
      <c r="AH31" s="10">
        <v>13.5</v>
      </c>
      <c r="AI31" s="10">
        <v>0.2</v>
      </c>
      <c r="AJ31" s="10">
        <v>68.959999999999994</v>
      </c>
    </row>
    <row r="32" spans="1:38" x14ac:dyDescent="0.35">
      <c r="A32" s="3">
        <v>37</v>
      </c>
      <c r="B32" s="3">
        <v>1</v>
      </c>
      <c r="C32" s="3">
        <v>3</v>
      </c>
      <c r="D32" s="3">
        <v>1</v>
      </c>
      <c r="E32" s="3">
        <v>3</v>
      </c>
      <c r="F32" s="3">
        <v>785.35</v>
      </c>
      <c r="G32" s="4">
        <f t="shared" si="0"/>
        <v>0.78534999999999999</v>
      </c>
      <c r="H32" s="4">
        <f t="shared" si="6"/>
        <v>32.984699999999997</v>
      </c>
      <c r="I32" s="3">
        <v>42</v>
      </c>
      <c r="J32" s="4">
        <f t="shared" si="4"/>
        <v>2.0300000000000002</v>
      </c>
      <c r="K32" s="5">
        <v>406</v>
      </c>
      <c r="L32" s="6">
        <f t="shared" si="7"/>
        <v>0.40600000000000003</v>
      </c>
      <c r="M32" s="5">
        <v>5</v>
      </c>
      <c r="N32" s="4">
        <f t="shared" si="5"/>
        <v>2.6289899999999999</v>
      </c>
      <c r="O32" s="37">
        <v>876.33</v>
      </c>
      <c r="P32" s="38">
        <f t="shared" si="1"/>
        <v>0.87633000000000005</v>
      </c>
      <c r="Q32" s="37">
        <v>3</v>
      </c>
      <c r="R32" s="4">
        <f t="shared" si="2"/>
        <v>1.0649999999999999</v>
      </c>
      <c r="S32" s="7">
        <v>532.5</v>
      </c>
      <c r="T32" s="8">
        <f t="shared" si="3"/>
        <v>0.53249999999999997</v>
      </c>
      <c r="U32" s="7">
        <v>2</v>
      </c>
      <c r="V32" s="13">
        <v>20.5</v>
      </c>
      <c r="W32" s="10">
        <v>10.187999999999999</v>
      </c>
      <c r="X32" s="10">
        <v>4.032</v>
      </c>
      <c r="Y32" s="10">
        <v>3.2810000000000001</v>
      </c>
      <c r="Z32" s="10">
        <v>3.36</v>
      </c>
      <c r="AA32" s="10">
        <v>1.02</v>
      </c>
      <c r="AB32" s="10">
        <v>90.4</v>
      </c>
      <c r="AC32" s="10">
        <v>72.75</v>
      </c>
      <c r="AD32" s="10">
        <v>58.53</v>
      </c>
      <c r="AE32" s="10">
        <v>85.18</v>
      </c>
      <c r="AF32" s="10">
        <v>77.23</v>
      </c>
      <c r="AG32" s="10">
        <v>55.66</v>
      </c>
      <c r="AH32" s="10">
        <v>15</v>
      </c>
      <c r="AI32" s="10">
        <v>0.17</v>
      </c>
      <c r="AJ32" s="10">
        <v>88.21</v>
      </c>
    </row>
    <row r="33" spans="1:54" x14ac:dyDescent="0.35">
      <c r="A33" s="3">
        <v>38</v>
      </c>
      <c r="B33" s="3">
        <v>5</v>
      </c>
      <c r="C33" s="3">
        <v>3</v>
      </c>
      <c r="D33" s="3">
        <v>1</v>
      </c>
      <c r="E33" s="3">
        <v>38</v>
      </c>
      <c r="F33" s="3">
        <v>912.14</v>
      </c>
      <c r="G33" s="4">
        <f t="shared" si="0"/>
        <v>0.91213999999999995</v>
      </c>
      <c r="H33" s="4">
        <f t="shared" si="6"/>
        <v>82.09259999999999</v>
      </c>
      <c r="I33" s="3">
        <v>90</v>
      </c>
      <c r="J33" s="4">
        <f t="shared" si="4"/>
        <v>1.28</v>
      </c>
      <c r="K33" s="5">
        <v>640</v>
      </c>
      <c r="L33" s="6">
        <f t="shared" si="7"/>
        <v>0.64</v>
      </c>
      <c r="M33" s="5">
        <v>2</v>
      </c>
      <c r="N33" s="4">
        <f t="shared" si="5"/>
        <v>2.4689999999999999</v>
      </c>
      <c r="O33" s="37">
        <v>1234.5</v>
      </c>
      <c r="P33" s="38">
        <f t="shared" si="1"/>
        <v>1.2344999999999999</v>
      </c>
      <c r="Q33" s="37">
        <v>2</v>
      </c>
      <c r="R33" s="4">
        <f t="shared" si="2"/>
        <v>0</v>
      </c>
      <c r="S33" s="7">
        <v>0</v>
      </c>
      <c r="T33" s="8">
        <f t="shared" si="3"/>
        <v>0</v>
      </c>
      <c r="U33" s="7">
        <v>0</v>
      </c>
      <c r="V33" s="13">
        <v>18.16</v>
      </c>
      <c r="W33" s="10">
        <v>10.165000000000001</v>
      </c>
      <c r="X33" s="10">
        <v>4.069</v>
      </c>
      <c r="Y33" s="10">
        <v>3.0829999999999997</v>
      </c>
      <c r="Z33" s="10">
        <v>3.01</v>
      </c>
      <c r="AA33" s="10">
        <v>0.89</v>
      </c>
      <c r="AB33" s="10">
        <v>86.89</v>
      </c>
      <c r="AC33" s="10">
        <v>83.66</v>
      </c>
      <c r="AD33" s="10">
        <v>55.33</v>
      </c>
      <c r="AE33" s="10">
        <v>73.09</v>
      </c>
      <c r="AF33" s="10">
        <v>88.88</v>
      </c>
      <c r="AG33" s="10">
        <v>47.7</v>
      </c>
      <c r="AH33" s="10">
        <v>12.5</v>
      </c>
      <c r="AI33" s="10">
        <v>0.16</v>
      </c>
      <c r="AJ33" s="10">
        <v>77.010000000000005</v>
      </c>
    </row>
    <row r="34" spans="1:54" x14ac:dyDescent="0.35">
      <c r="A34" s="3">
        <v>39</v>
      </c>
      <c r="B34" s="3">
        <v>8</v>
      </c>
      <c r="C34" s="3">
        <v>3</v>
      </c>
      <c r="D34" s="3">
        <v>10</v>
      </c>
      <c r="E34" s="3">
        <v>65</v>
      </c>
      <c r="F34" s="3">
        <v>909.79</v>
      </c>
      <c r="G34" s="4">
        <f t="shared" si="0"/>
        <v>0.90978999999999999</v>
      </c>
      <c r="H34" s="4">
        <f t="shared" si="6"/>
        <v>56.406979999999997</v>
      </c>
      <c r="I34" s="3">
        <v>62</v>
      </c>
      <c r="J34" s="4">
        <f t="shared" si="4"/>
        <v>0.51</v>
      </c>
      <c r="K34" s="5">
        <v>510</v>
      </c>
      <c r="L34" s="6">
        <f t="shared" si="7"/>
        <v>0.51</v>
      </c>
      <c r="M34" s="5">
        <v>1</v>
      </c>
      <c r="N34" s="4">
        <f t="shared" si="5"/>
        <v>5.1289999999999996</v>
      </c>
      <c r="O34" s="37">
        <v>1282.25</v>
      </c>
      <c r="P34" s="38">
        <f t="shared" si="1"/>
        <v>1.2822499999999999</v>
      </c>
      <c r="Q34" s="37">
        <v>4</v>
      </c>
      <c r="R34" s="4">
        <f t="shared" si="2"/>
        <v>2.8940000000000001</v>
      </c>
      <c r="S34" s="7">
        <v>1447</v>
      </c>
      <c r="T34" s="8">
        <f t="shared" si="3"/>
        <v>1.4470000000000001</v>
      </c>
      <c r="U34" s="7">
        <v>2</v>
      </c>
      <c r="V34" s="13">
        <v>21.22</v>
      </c>
      <c r="W34" s="10">
        <v>9.3249999999999993</v>
      </c>
      <c r="X34" s="10">
        <v>4.3070000000000004</v>
      </c>
      <c r="Y34" s="10">
        <v>2.9</v>
      </c>
      <c r="Z34" s="10">
        <v>3.94</v>
      </c>
      <c r="AA34" s="10">
        <v>0.98</v>
      </c>
      <c r="AB34" s="10">
        <v>69.86</v>
      </c>
      <c r="AC34" s="10">
        <v>72.64</v>
      </c>
      <c r="AD34" s="10">
        <v>44.74</v>
      </c>
      <c r="AE34" s="10">
        <v>66.209999999999994</v>
      </c>
      <c r="AF34" s="10">
        <v>81.180000000000007</v>
      </c>
      <c r="AG34" s="10">
        <v>41.97</v>
      </c>
      <c r="AH34" s="10">
        <v>14.8</v>
      </c>
      <c r="AI34" s="10">
        <v>0.17</v>
      </c>
      <c r="AJ34" s="10">
        <v>88.01</v>
      </c>
    </row>
    <row r="35" spans="1:54" x14ac:dyDescent="0.35">
      <c r="A35" s="3">
        <v>40</v>
      </c>
      <c r="B35" s="3">
        <v>2</v>
      </c>
      <c r="C35" s="3">
        <v>3</v>
      </c>
      <c r="D35" s="3">
        <v>1</v>
      </c>
      <c r="E35" s="3">
        <v>17</v>
      </c>
      <c r="F35" s="3">
        <v>1223.32</v>
      </c>
      <c r="G35" s="4">
        <f t="shared" si="0"/>
        <v>1.22332</v>
      </c>
      <c r="H35" s="4">
        <f t="shared" si="6"/>
        <v>56.27272</v>
      </c>
      <c r="I35" s="3">
        <v>46</v>
      </c>
      <c r="J35" s="4">
        <f t="shared" si="4"/>
        <v>0.71</v>
      </c>
      <c r="K35" s="5">
        <v>710</v>
      </c>
      <c r="L35" s="6">
        <f t="shared" si="7"/>
        <v>0.71</v>
      </c>
      <c r="M35" s="5">
        <v>1</v>
      </c>
      <c r="N35" s="4">
        <f t="shared" si="5"/>
        <v>0</v>
      </c>
      <c r="O35" s="37">
        <v>0</v>
      </c>
      <c r="P35" s="38">
        <f t="shared" si="1"/>
        <v>0</v>
      </c>
      <c r="Q35" s="37">
        <v>0</v>
      </c>
      <c r="R35" s="4">
        <f t="shared" si="2"/>
        <v>1.03</v>
      </c>
      <c r="S35" s="7">
        <v>1030</v>
      </c>
      <c r="T35" s="8">
        <f t="shared" si="3"/>
        <v>1.03</v>
      </c>
      <c r="U35" s="7">
        <v>1</v>
      </c>
      <c r="V35" s="13">
        <v>23.44</v>
      </c>
      <c r="W35" s="10">
        <v>10.702</v>
      </c>
      <c r="X35" s="10">
        <v>5.5060000000000002</v>
      </c>
      <c r="Y35" s="10">
        <v>4.1820000000000004</v>
      </c>
      <c r="Z35" s="10">
        <v>2.08</v>
      </c>
      <c r="AA35" s="10">
        <v>0.91</v>
      </c>
      <c r="AB35" s="10">
        <v>78.260000000000005</v>
      </c>
      <c r="AC35" s="10">
        <v>86.33</v>
      </c>
      <c r="AD35" s="10">
        <v>48.58</v>
      </c>
      <c r="AE35" s="10">
        <v>75.69</v>
      </c>
      <c r="AF35" s="10">
        <v>86.65</v>
      </c>
      <c r="AG35" s="10">
        <v>47.74</v>
      </c>
      <c r="AH35" s="10">
        <v>13.6</v>
      </c>
      <c r="AI35" s="10">
        <v>0.18</v>
      </c>
      <c r="AJ35" s="10">
        <v>77.8</v>
      </c>
    </row>
    <row r="36" spans="1:54" x14ac:dyDescent="0.35">
      <c r="A36" s="3">
        <v>41</v>
      </c>
      <c r="B36" s="3">
        <v>4</v>
      </c>
      <c r="C36" s="3">
        <v>3</v>
      </c>
      <c r="D36" s="3">
        <v>1</v>
      </c>
      <c r="E36" s="3">
        <v>30</v>
      </c>
      <c r="F36" s="3">
        <v>1361.05</v>
      </c>
      <c r="G36" s="4">
        <f t="shared" si="0"/>
        <v>1.3610499999999999</v>
      </c>
      <c r="H36" s="4">
        <f t="shared" si="6"/>
        <v>50.358849999999997</v>
      </c>
      <c r="I36" s="3">
        <v>37</v>
      </c>
      <c r="J36" s="4">
        <f t="shared" si="4"/>
        <v>0</v>
      </c>
      <c r="K36" s="5">
        <v>0</v>
      </c>
      <c r="L36" s="6">
        <f t="shared" si="7"/>
        <v>0</v>
      </c>
      <c r="M36" s="5">
        <v>0</v>
      </c>
      <c r="N36" s="4">
        <f t="shared" si="5"/>
        <v>7.6875</v>
      </c>
      <c r="O36" s="37">
        <v>1537.5</v>
      </c>
      <c r="P36" s="38">
        <f t="shared" si="1"/>
        <v>1.5375000000000001</v>
      </c>
      <c r="Q36" s="37">
        <v>5</v>
      </c>
      <c r="R36" s="4">
        <f t="shared" si="2"/>
        <v>5.0779800000000002</v>
      </c>
      <c r="S36" s="7">
        <v>1692.66</v>
      </c>
      <c r="T36" s="8">
        <f t="shared" si="3"/>
        <v>1.6926600000000001</v>
      </c>
      <c r="U36" s="7">
        <v>3</v>
      </c>
      <c r="V36" s="13">
        <v>23.95</v>
      </c>
      <c r="W36" s="10">
        <v>12.035</v>
      </c>
      <c r="X36" s="10">
        <v>6.2389999999999999</v>
      </c>
      <c r="Y36" s="10">
        <v>2.9050000000000002</v>
      </c>
      <c r="Z36" s="10">
        <v>5.48</v>
      </c>
      <c r="AA36" s="10">
        <v>1.57</v>
      </c>
      <c r="AB36" s="10">
        <v>73.5</v>
      </c>
      <c r="AC36" s="10">
        <v>87.61</v>
      </c>
      <c r="AD36" s="10">
        <v>50.12</v>
      </c>
      <c r="AE36" s="10">
        <v>71.03</v>
      </c>
      <c r="AF36" s="10">
        <v>89.31</v>
      </c>
      <c r="AG36" s="10">
        <v>47.1</v>
      </c>
      <c r="AH36" s="10">
        <v>15</v>
      </c>
      <c r="AI36" s="10">
        <v>0.18</v>
      </c>
      <c r="AJ36" s="10">
        <v>83.85</v>
      </c>
    </row>
    <row r="37" spans="1:54" x14ac:dyDescent="0.35">
      <c r="A37" s="3">
        <v>42</v>
      </c>
      <c r="B37" s="3">
        <v>8</v>
      </c>
      <c r="C37" s="3">
        <v>3</v>
      </c>
      <c r="D37" s="3">
        <v>9</v>
      </c>
      <c r="E37" s="3">
        <v>65</v>
      </c>
      <c r="F37" s="3">
        <v>929</v>
      </c>
      <c r="G37" s="4">
        <f t="shared" si="0"/>
        <v>0.92900000000000005</v>
      </c>
      <c r="H37" s="4">
        <f t="shared" si="6"/>
        <v>52.024000000000001</v>
      </c>
      <c r="I37" s="3">
        <v>56</v>
      </c>
      <c r="J37" s="4">
        <f t="shared" si="4"/>
        <v>1.748</v>
      </c>
      <c r="K37" s="5">
        <v>874</v>
      </c>
      <c r="L37" s="6">
        <f t="shared" si="7"/>
        <v>0.874</v>
      </c>
      <c r="M37" s="5">
        <v>2</v>
      </c>
      <c r="N37" s="4">
        <f t="shared" si="5"/>
        <v>0.77500000000000002</v>
      </c>
      <c r="O37" s="37">
        <v>775</v>
      </c>
      <c r="P37" s="38">
        <f t="shared" si="1"/>
        <v>0.77500000000000002</v>
      </c>
      <c r="Q37" s="37">
        <v>1</v>
      </c>
      <c r="R37" s="4">
        <f t="shared" si="2"/>
        <v>3.2309999999999999</v>
      </c>
      <c r="S37" s="7">
        <v>1077</v>
      </c>
      <c r="T37" s="8">
        <f t="shared" si="3"/>
        <v>1.077</v>
      </c>
      <c r="U37" s="7">
        <v>3</v>
      </c>
      <c r="V37" s="13">
        <v>22.72</v>
      </c>
      <c r="W37" s="10">
        <v>11.105</v>
      </c>
      <c r="X37" s="10">
        <v>5.0630000000000006</v>
      </c>
      <c r="Y37" s="10">
        <v>3.0680000000000001</v>
      </c>
      <c r="Z37" s="10">
        <v>3.3</v>
      </c>
      <c r="AA37" s="10">
        <v>0.89</v>
      </c>
      <c r="AB37" s="10">
        <v>85.2</v>
      </c>
      <c r="AC37" s="10">
        <v>84.84</v>
      </c>
      <c r="AD37" s="10">
        <v>54.65</v>
      </c>
      <c r="AE37" s="10">
        <v>84.29</v>
      </c>
      <c r="AF37" s="10">
        <v>85.72</v>
      </c>
      <c r="AG37" s="10">
        <v>52.65</v>
      </c>
      <c r="AH37" s="10">
        <v>13.7</v>
      </c>
      <c r="AI37" s="10">
        <v>0.17</v>
      </c>
      <c r="AJ37" s="10">
        <v>78.81</v>
      </c>
    </row>
    <row r="38" spans="1:54" x14ac:dyDescent="0.35">
      <c r="A38" s="3">
        <v>43</v>
      </c>
      <c r="B38" s="3">
        <v>4</v>
      </c>
      <c r="C38" s="3">
        <v>3</v>
      </c>
      <c r="D38" s="3">
        <v>2</v>
      </c>
      <c r="E38" s="3">
        <v>30</v>
      </c>
      <c r="F38" s="3">
        <v>1594.61</v>
      </c>
      <c r="G38" s="4">
        <f t="shared" si="0"/>
        <v>1.5946099999999999</v>
      </c>
      <c r="H38" s="4">
        <f t="shared" si="6"/>
        <v>66.973619999999997</v>
      </c>
      <c r="I38" s="3">
        <v>42</v>
      </c>
      <c r="J38" s="4">
        <f t="shared" si="4"/>
        <v>0.38700000000000001</v>
      </c>
      <c r="K38" s="5">
        <v>387</v>
      </c>
      <c r="L38" s="6">
        <f t="shared" si="7"/>
        <v>0.38700000000000001</v>
      </c>
      <c r="M38" s="5">
        <v>1</v>
      </c>
      <c r="N38" s="4">
        <f t="shared" si="5"/>
        <v>1.59</v>
      </c>
      <c r="O38" s="37">
        <v>1590</v>
      </c>
      <c r="P38" s="38">
        <f t="shared" si="1"/>
        <v>1.59</v>
      </c>
      <c r="Q38" s="37">
        <v>1</v>
      </c>
      <c r="R38" s="4">
        <f t="shared" si="2"/>
        <v>0</v>
      </c>
      <c r="S38" s="7">
        <v>0</v>
      </c>
      <c r="T38" s="8">
        <f t="shared" si="3"/>
        <v>0</v>
      </c>
      <c r="U38" s="7">
        <v>0</v>
      </c>
      <c r="V38" s="13">
        <v>25.96</v>
      </c>
      <c r="W38" s="10">
        <v>11.048</v>
      </c>
      <c r="X38" s="10">
        <v>4.835</v>
      </c>
      <c r="Y38" s="10">
        <v>3.1399999999999997</v>
      </c>
      <c r="Z38" s="10">
        <v>3.38</v>
      </c>
      <c r="AA38" s="10">
        <v>0.98</v>
      </c>
      <c r="AB38" s="10">
        <v>78.489999999999995</v>
      </c>
      <c r="AC38" s="10">
        <v>80.930000000000007</v>
      </c>
      <c r="AD38" s="10">
        <v>51.49</v>
      </c>
      <c r="AE38" s="10">
        <v>71.930000000000007</v>
      </c>
      <c r="AF38" s="10">
        <v>91.62</v>
      </c>
      <c r="AG38" s="10">
        <v>47.32</v>
      </c>
      <c r="AH38" s="10">
        <v>13.7</v>
      </c>
      <c r="AI38" s="10">
        <v>0.18</v>
      </c>
      <c r="AJ38" s="10">
        <v>75.81</v>
      </c>
      <c r="BB38" s="12"/>
    </row>
    <row r="39" spans="1:54" x14ac:dyDescent="0.35">
      <c r="A39" s="3">
        <v>44</v>
      </c>
      <c r="B39" s="3">
        <v>8</v>
      </c>
      <c r="C39" s="3">
        <v>3</v>
      </c>
      <c r="D39" s="3">
        <v>7</v>
      </c>
      <c r="E39" s="3">
        <v>65</v>
      </c>
      <c r="F39" s="3">
        <v>959.67</v>
      </c>
      <c r="G39" s="4">
        <f t="shared" si="0"/>
        <v>0.95966999999999991</v>
      </c>
      <c r="H39" s="4">
        <f t="shared" si="6"/>
        <v>35.50779</v>
      </c>
      <c r="I39" s="3">
        <v>37</v>
      </c>
      <c r="J39" s="4">
        <f t="shared" si="4"/>
        <v>0.35499999999999998</v>
      </c>
      <c r="K39" s="5">
        <v>355</v>
      </c>
      <c r="L39" s="6">
        <f t="shared" si="7"/>
        <v>0.35499999999999998</v>
      </c>
      <c r="M39" s="5">
        <v>1</v>
      </c>
      <c r="N39" s="4">
        <f t="shared" si="5"/>
        <v>2.4060000000000001</v>
      </c>
      <c r="O39" s="37">
        <v>802</v>
      </c>
      <c r="P39" s="38">
        <f t="shared" si="1"/>
        <v>0.80200000000000005</v>
      </c>
      <c r="Q39" s="37">
        <v>3</v>
      </c>
      <c r="R39" s="4">
        <f t="shared" si="2"/>
        <v>4.9409999999999998</v>
      </c>
      <c r="S39" s="7">
        <v>1235.25</v>
      </c>
      <c r="T39" s="8">
        <f t="shared" si="3"/>
        <v>1.23525</v>
      </c>
      <c r="U39" s="7">
        <v>4</v>
      </c>
      <c r="V39" s="13">
        <v>21.38</v>
      </c>
      <c r="W39" s="10">
        <v>10.987</v>
      </c>
      <c r="X39" s="10">
        <v>5.2869999999999999</v>
      </c>
      <c r="Y39" s="10">
        <v>2.91</v>
      </c>
      <c r="Z39" s="10">
        <v>5.41</v>
      </c>
      <c r="AA39" s="10">
        <v>0.89</v>
      </c>
      <c r="AB39" s="10">
        <v>78.680000000000007</v>
      </c>
      <c r="AC39" s="10">
        <v>75.48</v>
      </c>
      <c r="AD39" s="10">
        <v>51.47</v>
      </c>
      <c r="AE39" s="10">
        <v>68.650000000000006</v>
      </c>
      <c r="AF39" s="10">
        <v>85.75</v>
      </c>
      <c r="AG39" s="10">
        <v>45.88</v>
      </c>
      <c r="AH39" s="10">
        <v>15.6</v>
      </c>
      <c r="AI39" s="10">
        <v>0.16</v>
      </c>
      <c r="AJ39" s="10">
        <v>95.54</v>
      </c>
      <c r="BB39" s="12"/>
    </row>
    <row r="40" spans="1:54" x14ac:dyDescent="0.35">
      <c r="A40" s="3">
        <v>45</v>
      </c>
      <c r="B40" s="3">
        <v>3</v>
      </c>
      <c r="C40" s="3">
        <v>3</v>
      </c>
      <c r="D40" s="3">
        <v>1</v>
      </c>
      <c r="E40" s="3">
        <v>27</v>
      </c>
      <c r="F40" s="3">
        <v>1016.97</v>
      </c>
      <c r="G40" s="4">
        <f t="shared" si="0"/>
        <v>1.0169699999999999</v>
      </c>
      <c r="H40" s="4">
        <f t="shared" si="6"/>
        <v>41.695769999999996</v>
      </c>
      <c r="I40" s="3">
        <v>41</v>
      </c>
      <c r="J40" s="4">
        <f t="shared" si="4"/>
        <v>1.8349799999999998</v>
      </c>
      <c r="K40" s="5">
        <v>611.66</v>
      </c>
      <c r="L40" s="6">
        <f t="shared" si="7"/>
        <v>0.61165999999999998</v>
      </c>
      <c r="M40" s="5">
        <v>3</v>
      </c>
      <c r="N40" s="4">
        <f t="shared" si="5"/>
        <v>0.92</v>
      </c>
      <c r="O40" s="37">
        <v>920</v>
      </c>
      <c r="P40" s="38">
        <f t="shared" si="1"/>
        <v>0.92</v>
      </c>
      <c r="Q40" s="37">
        <v>1</v>
      </c>
      <c r="R40" s="4">
        <f t="shared" si="2"/>
        <v>0.90500000000000003</v>
      </c>
      <c r="S40" s="7">
        <v>905</v>
      </c>
      <c r="T40" s="8">
        <f t="shared" si="3"/>
        <v>0.90500000000000003</v>
      </c>
      <c r="U40" s="7">
        <v>1</v>
      </c>
      <c r="V40" s="13">
        <v>22.5</v>
      </c>
      <c r="W40" s="10">
        <v>8.468</v>
      </c>
      <c r="X40" s="10">
        <v>4.2610000000000001</v>
      </c>
      <c r="Y40" s="10">
        <v>2.6230000000000002</v>
      </c>
      <c r="Z40" s="10">
        <v>2.78</v>
      </c>
      <c r="AA40" s="10">
        <v>0.95</v>
      </c>
      <c r="AB40" s="10">
        <v>90.33</v>
      </c>
      <c r="AC40" s="10">
        <v>78.75</v>
      </c>
      <c r="AD40" s="10">
        <v>55.73</v>
      </c>
      <c r="AE40" s="10">
        <v>81.31</v>
      </c>
      <c r="AF40" s="10">
        <v>93.27</v>
      </c>
      <c r="AG40" s="10">
        <v>53.28</v>
      </c>
      <c r="AH40" s="10">
        <v>14.3</v>
      </c>
      <c r="AI40" s="10">
        <v>0.16</v>
      </c>
      <c r="AJ40" s="10">
        <v>86.82</v>
      </c>
      <c r="BB40" s="12"/>
    </row>
    <row r="41" spans="1:54" x14ac:dyDescent="0.35">
      <c r="A41" s="3">
        <v>46</v>
      </c>
      <c r="B41" s="3">
        <v>1</v>
      </c>
      <c r="C41" s="3">
        <v>3</v>
      </c>
      <c r="D41" s="3">
        <v>4</v>
      </c>
      <c r="E41" s="3">
        <v>3</v>
      </c>
      <c r="F41" s="3">
        <v>1131.75</v>
      </c>
      <c r="G41" s="4">
        <f t="shared" si="0"/>
        <v>1.13175</v>
      </c>
      <c r="H41" s="4">
        <f t="shared" si="6"/>
        <v>27.161999999999999</v>
      </c>
      <c r="I41" s="3">
        <v>24</v>
      </c>
      <c r="J41" s="4">
        <f t="shared" si="4"/>
        <v>0</v>
      </c>
      <c r="K41" s="5">
        <v>0</v>
      </c>
      <c r="L41" s="6">
        <f t="shared" si="7"/>
        <v>0</v>
      </c>
      <c r="M41" s="5">
        <v>0</v>
      </c>
      <c r="N41" s="4">
        <f t="shared" si="5"/>
        <v>2.0019999999999998</v>
      </c>
      <c r="O41" s="37">
        <v>1001</v>
      </c>
      <c r="P41" s="38">
        <f t="shared" si="1"/>
        <v>1.0009999999999999</v>
      </c>
      <c r="Q41" s="37">
        <v>2</v>
      </c>
      <c r="R41" s="4">
        <f t="shared" si="2"/>
        <v>0.99299999999999999</v>
      </c>
      <c r="S41" s="7">
        <v>993</v>
      </c>
      <c r="T41" s="8">
        <f t="shared" si="3"/>
        <v>0.99299999999999999</v>
      </c>
      <c r="U41" s="7">
        <v>1</v>
      </c>
      <c r="V41" s="13">
        <v>19.86</v>
      </c>
      <c r="W41" s="10">
        <v>11.586</v>
      </c>
      <c r="X41" s="10">
        <v>5.9219999999999997</v>
      </c>
      <c r="Y41" s="10">
        <v>3.0840000000000001</v>
      </c>
      <c r="Z41" s="10">
        <v>4.6500000000000004</v>
      </c>
      <c r="AA41" s="10">
        <v>0.99</v>
      </c>
      <c r="AB41" s="10">
        <v>74</v>
      </c>
      <c r="AC41" s="10">
        <v>95.15</v>
      </c>
      <c r="AD41" s="10">
        <v>48.19</v>
      </c>
      <c r="AE41" s="10">
        <v>70.31</v>
      </c>
      <c r="AF41" s="10">
        <v>97.59</v>
      </c>
      <c r="AG41" s="10">
        <v>45.6</v>
      </c>
      <c r="AH41" s="10">
        <v>14.5</v>
      </c>
      <c r="AI41" s="10">
        <v>0.15</v>
      </c>
      <c r="AJ41" s="10">
        <v>97.3</v>
      </c>
      <c r="BB41" s="12"/>
    </row>
    <row r="42" spans="1:54" x14ac:dyDescent="0.35">
      <c r="A42" s="3">
        <v>47</v>
      </c>
      <c r="B42" s="3">
        <v>3</v>
      </c>
      <c r="C42" s="3">
        <v>3</v>
      </c>
      <c r="D42" s="3">
        <v>10</v>
      </c>
      <c r="E42" s="3">
        <v>27</v>
      </c>
      <c r="F42" s="3">
        <v>1012.43</v>
      </c>
      <c r="G42" s="4">
        <f t="shared" si="0"/>
        <v>1.0124299999999999</v>
      </c>
      <c r="H42" s="4">
        <f t="shared" si="6"/>
        <v>37.459910000000001</v>
      </c>
      <c r="I42" s="3">
        <v>37</v>
      </c>
      <c r="J42" s="4">
        <f t="shared" si="4"/>
        <v>1.3919999999999999</v>
      </c>
      <c r="K42" s="5">
        <v>348</v>
      </c>
      <c r="L42" s="6">
        <f t="shared" si="7"/>
        <v>0.34799999999999998</v>
      </c>
      <c r="M42" s="5">
        <v>4</v>
      </c>
      <c r="N42" s="4">
        <f t="shared" si="5"/>
        <v>0.77</v>
      </c>
      <c r="O42" s="37">
        <v>385</v>
      </c>
      <c r="P42" s="38">
        <f t="shared" si="1"/>
        <v>0.38500000000000001</v>
      </c>
      <c r="Q42" s="37">
        <v>2</v>
      </c>
      <c r="R42" s="4">
        <f t="shared" si="2"/>
        <v>0.87</v>
      </c>
      <c r="S42" s="7">
        <v>870</v>
      </c>
      <c r="T42" s="8">
        <f t="shared" si="3"/>
        <v>0.87</v>
      </c>
      <c r="U42" s="7">
        <v>1</v>
      </c>
      <c r="V42" s="13">
        <v>24.9</v>
      </c>
      <c r="W42" s="10">
        <v>9.8379999999999992</v>
      </c>
      <c r="X42" s="10">
        <v>4.633</v>
      </c>
      <c r="Y42" s="10">
        <v>2.964</v>
      </c>
      <c r="Z42" s="10">
        <v>3.45</v>
      </c>
      <c r="AA42" s="10">
        <v>0.97</v>
      </c>
      <c r="AB42" s="10">
        <v>72.23</v>
      </c>
      <c r="AC42" s="10">
        <v>75.72</v>
      </c>
      <c r="AD42" s="10">
        <v>47.41</v>
      </c>
      <c r="AE42" s="10">
        <v>61.52</v>
      </c>
      <c r="AF42" s="10">
        <v>82.92</v>
      </c>
      <c r="AG42" s="10">
        <v>40.51</v>
      </c>
      <c r="AH42" s="10">
        <v>15.8</v>
      </c>
      <c r="AI42" s="10">
        <v>0.17</v>
      </c>
      <c r="AJ42" s="10">
        <v>95.54</v>
      </c>
      <c r="BB42" s="12"/>
    </row>
    <row r="43" spans="1:54" x14ac:dyDescent="0.35">
      <c r="A43" s="3">
        <v>48</v>
      </c>
      <c r="B43" s="3">
        <v>8</v>
      </c>
      <c r="C43" s="3">
        <v>3</v>
      </c>
      <c r="D43" s="3">
        <v>6</v>
      </c>
      <c r="E43" s="3">
        <v>65</v>
      </c>
      <c r="F43" s="3">
        <v>1148.5899999999999</v>
      </c>
      <c r="G43" s="4">
        <f t="shared" si="0"/>
        <v>1.14859</v>
      </c>
      <c r="H43" s="4">
        <f t="shared" si="6"/>
        <v>50.537959999999998</v>
      </c>
      <c r="I43" s="3">
        <v>44</v>
      </c>
      <c r="J43" s="4">
        <f t="shared" si="4"/>
        <v>0</v>
      </c>
      <c r="K43" s="5">
        <v>0</v>
      </c>
      <c r="L43" s="6">
        <f t="shared" si="7"/>
        <v>0</v>
      </c>
      <c r="M43" s="5">
        <v>0</v>
      </c>
      <c r="N43" s="4">
        <f t="shared" si="5"/>
        <v>5.2549999999999999</v>
      </c>
      <c r="O43" s="37">
        <v>1313.75</v>
      </c>
      <c r="P43" s="38">
        <f t="shared" si="1"/>
        <v>1.31375</v>
      </c>
      <c r="Q43" s="37">
        <v>4</v>
      </c>
      <c r="R43" s="4">
        <f t="shared" si="2"/>
        <v>0</v>
      </c>
      <c r="S43" s="7">
        <v>0</v>
      </c>
      <c r="T43" s="8">
        <f t="shared" si="3"/>
        <v>0</v>
      </c>
      <c r="U43" s="7">
        <v>0</v>
      </c>
      <c r="V43" s="13">
        <v>23.02</v>
      </c>
      <c r="W43" s="10">
        <v>10.415000000000001</v>
      </c>
      <c r="X43" s="10">
        <v>4.5960000000000001</v>
      </c>
      <c r="Y43" s="10">
        <v>2.794</v>
      </c>
      <c r="Z43" s="10">
        <v>2.92</v>
      </c>
      <c r="AA43" s="10">
        <v>0.74</v>
      </c>
      <c r="AB43" s="10">
        <v>86.6</v>
      </c>
      <c r="AC43" s="10">
        <v>84.89</v>
      </c>
      <c r="AD43" s="10">
        <v>55.51</v>
      </c>
      <c r="AE43" s="10">
        <v>77.33</v>
      </c>
      <c r="AF43" s="10">
        <v>86.97</v>
      </c>
      <c r="AG43" s="10">
        <v>49.32</v>
      </c>
      <c r="AH43" s="10">
        <v>13.6</v>
      </c>
      <c r="AI43" s="10">
        <v>0.13</v>
      </c>
      <c r="AJ43" s="10">
        <v>101.64</v>
      </c>
      <c r="BB43" s="12"/>
    </row>
    <row r="44" spans="1:54" x14ac:dyDescent="0.35">
      <c r="A44" s="3">
        <v>49</v>
      </c>
      <c r="B44" s="3">
        <v>7</v>
      </c>
      <c r="C44" s="3">
        <v>3</v>
      </c>
      <c r="D44" s="3">
        <v>6</v>
      </c>
      <c r="E44" s="3">
        <v>53</v>
      </c>
      <c r="F44" s="3">
        <v>777.95</v>
      </c>
      <c r="G44" s="4">
        <f t="shared" si="0"/>
        <v>0.77795000000000003</v>
      </c>
      <c r="H44" s="4">
        <f t="shared" si="6"/>
        <v>52.900600000000004</v>
      </c>
      <c r="I44" s="3">
        <v>68</v>
      </c>
      <c r="J44" s="4">
        <f t="shared" si="4"/>
        <v>2.1949800000000002</v>
      </c>
      <c r="K44" s="5">
        <v>365.83</v>
      </c>
      <c r="L44" s="6">
        <f t="shared" si="7"/>
        <v>0.36582999999999999</v>
      </c>
      <c r="M44" s="5">
        <v>6</v>
      </c>
      <c r="N44" s="4">
        <f t="shared" si="5"/>
        <v>5.0369999999999999</v>
      </c>
      <c r="O44" s="37">
        <v>839.5</v>
      </c>
      <c r="P44" s="38">
        <f t="shared" si="1"/>
        <v>0.83950000000000002</v>
      </c>
      <c r="Q44" s="37">
        <v>6</v>
      </c>
      <c r="R44" s="4">
        <f t="shared" si="2"/>
        <v>1.8069999999999999</v>
      </c>
      <c r="S44" s="7">
        <v>903.5</v>
      </c>
      <c r="T44" s="8">
        <f t="shared" si="3"/>
        <v>0.90349999999999997</v>
      </c>
      <c r="U44" s="7">
        <v>2</v>
      </c>
      <c r="V44" s="13">
        <v>19</v>
      </c>
      <c r="W44" s="10">
        <v>11.07</v>
      </c>
      <c r="X44" s="10">
        <v>5.8209999999999997</v>
      </c>
      <c r="Y44" s="10">
        <v>3.839</v>
      </c>
      <c r="Z44" s="10">
        <v>5.12</v>
      </c>
      <c r="AA44" s="10">
        <v>0.77</v>
      </c>
      <c r="AB44" s="10">
        <v>74.180000000000007</v>
      </c>
      <c r="AC44" s="10">
        <v>91.24</v>
      </c>
      <c r="AD44" s="10">
        <v>48.34</v>
      </c>
      <c r="AE44" s="10">
        <v>68.36</v>
      </c>
      <c r="AF44" s="10">
        <v>97.12</v>
      </c>
      <c r="AG44" s="10">
        <v>44.76</v>
      </c>
      <c r="AH44" s="10">
        <v>15.5</v>
      </c>
      <c r="AI44" s="10">
        <v>0.18</v>
      </c>
      <c r="AJ44" s="10">
        <v>86.19</v>
      </c>
      <c r="BB44" s="12"/>
    </row>
    <row r="45" spans="1:54" x14ac:dyDescent="0.35">
      <c r="A45" s="3">
        <v>50</v>
      </c>
      <c r="B45" s="3">
        <v>3</v>
      </c>
      <c r="C45" s="3">
        <v>3</v>
      </c>
      <c r="D45" s="3">
        <v>3</v>
      </c>
      <c r="E45" s="3">
        <v>27</v>
      </c>
      <c r="F45" s="3">
        <v>1070.32</v>
      </c>
      <c r="G45" s="4">
        <f t="shared" si="0"/>
        <v>1.0703199999999999</v>
      </c>
      <c r="H45" s="4">
        <f t="shared" si="6"/>
        <v>46.023759999999996</v>
      </c>
      <c r="I45" s="3">
        <v>43</v>
      </c>
      <c r="J45" s="4">
        <f t="shared" si="4"/>
        <v>0.43</v>
      </c>
      <c r="K45" s="5">
        <v>430</v>
      </c>
      <c r="L45" s="6">
        <f t="shared" si="7"/>
        <v>0.43</v>
      </c>
      <c r="M45" s="5">
        <v>1</v>
      </c>
      <c r="N45" s="4">
        <f t="shared" si="5"/>
        <v>1.8</v>
      </c>
      <c r="O45" s="37">
        <v>1800</v>
      </c>
      <c r="P45" s="38">
        <f t="shared" si="1"/>
        <v>1.8</v>
      </c>
      <c r="Q45" s="37">
        <v>1</v>
      </c>
      <c r="R45" s="4">
        <f t="shared" si="2"/>
        <v>0</v>
      </c>
      <c r="S45" s="7">
        <v>0</v>
      </c>
      <c r="T45" s="8">
        <f t="shared" si="3"/>
        <v>0</v>
      </c>
      <c r="U45" s="7">
        <v>0</v>
      </c>
      <c r="V45" s="13">
        <v>22.28</v>
      </c>
      <c r="W45" s="10">
        <v>10.306000000000001</v>
      </c>
      <c r="X45" s="10">
        <v>4.4930000000000003</v>
      </c>
      <c r="Y45" s="10">
        <v>2.8289999999999997</v>
      </c>
      <c r="Z45" s="10">
        <v>3.39</v>
      </c>
      <c r="AA45" s="10">
        <v>1</v>
      </c>
      <c r="AB45" s="10">
        <v>78.25</v>
      </c>
      <c r="AC45" s="10">
        <v>73.36</v>
      </c>
      <c r="AD45" s="10">
        <v>48.12</v>
      </c>
      <c r="AE45" s="10">
        <v>77.540000000000006</v>
      </c>
      <c r="AF45" s="10">
        <v>85.68</v>
      </c>
      <c r="AG45" s="10">
        <v>49.43</v>
      </c>
      <c r="AH45" s="10">
        <v>14.2</v>
      </c>
      <c r="AI45" s="10">
        <v>0.14000000000000001</v>
      </c>
      <c r="AJ45" s="10">
        <v>101.13</v>
      </c>
      <c r="BB45" s="12"/>
    </row>
    <row r="46" spans="1:54" x14ac:dyDescent="0.35">
      <c r="A46" s="3">
        <v>51</v>
      </c>
      <c r="B46" s="3">
        <v>4</v>
      </c>
      <c r="C46" s="3">
        <v>3</v>
      </c>
      <c r="D46" s="3">
        <v>10</v>
      </c>
      <c r="E46" s="3">
        <v>30</v>
      </c>
      <c r="F46" s="3">
        <v>1396.15</v>
      </c>
      <c r="G46" s="4">
        <f t="shared" si="0"/>
        <v>1.39615</v>
      </c>
      <c r="H46" s="4">
        <f t="shared" si="6"/>
        <v>71.203649999999996</v>
      </c>
      <c r="I46" s="3">
        <v>51</v>
      </c>
      <c r="J46" s="4">
        <f t="shared" si="4"/>
        <v>1.79</v>
      </c>
      <c r="K46" s="5">
        <v>895</v>
      </c>
      <c r="L46" s="6">
        <f t="shared" si="7"/>
        <v>0.89500000000000002</v>
      </c>
      <c r="M46" s="5">
        <v>2</v>
      </c>
      <c r="N46" s="4">
        <f t="shared" si="5"/>
        <v>9.93398</v>
      </c>
      <c r="O46" s="37">
        <v>1419.14</v>
      </c>
      <c r="P46" s="38">
        <f t="shared" si="1"/>
        <v>1.4191400000000001</v>
      </c>
      <c r="Q46" s="37">
        <v>7</v>
      </c>
      <c r="R46" s="4">
        <f t="shared" si="2"/>
        <v>11.41798</v>
      </c>
      <c r="S46" s="7">
        <v>1631.14</v>
      </c>
      <c r="T46" s="8">
        <f t="shared" si="3"/>
        <v>1.63114</v>
      </c>
      <c r="U46" s="7">
        <v>7</v>
      </c>
      <c r="V46" s="13">
        <v>20.3</v>
      </c>
      <c r="W46" s="10">
        <v>11.481999999999999</v>
      </c>
      <c r="X46" s="10">
        <v>4.8319999999999999</v>
      </c>
      <c r="Y46" s="10">
        <v>3.1139999999999999</v>
      </c>
      <c r="Z46" s="10">
        <v>3.68</v>
      </c>
      <c r="AA46" s="10">
        <v>0.8</v>
      </c>
      <c r="AB46" s="10">
        <v>78.790000000000006</v>
      </c>
      <c r="AC46" s="10">
        <v>91.01</v>
      </c>
      <c r="AD46" s="10">
        <v>49.22</v>
      </c>
      <c r="AE46" s="10">
        <v>77.09</v>
      </c>
      <c r="AF46" s="10">
        <v>96.1</v>
      </c>
      <c r="AG46" s="10">
        <v>50.34</v>
      </c>
      <c r="AH46" s="10">
        <v>14.2</v>
      </c>
      <c r="AI46" s="10">
        <v>0.18</v>
      </c>
      <c r="AJ46" s="10">
        <v>77.13</v>
      </c>
      <c r="BB46" s="12"/>
    </row>
    <row r="47" spans="1:54" x14ac:dyDescent="0.35">
      <c r="A47" s="3">
        <v>55</v>
      </c>
      <c r="B47" s="3">
        <v>10</v>
      </c>
      <c r="C47" s="3">
        <v>8</v>
      </c>
      <c r="D47" s="3">
        <v>3</v>
      </c>
      <c r="E47" s="3">
        <v>91</v>
      </c>
      <c r="F47" s="3">
        <v>1528.03</v>
      </c>
      <c r="G47" s="4">
        <f t="shared" si="0"/>
        <v>1.52803</v>
      </c>
      <c r="H47" s="4">
        <f t="shared" si="6"/>
        <v>82.513620000000003</v>
      </c>
      <c r="I47" s="3">
        <v>54</v>
      </c>
      <c r="J47" s="4">
        <f t="shared" si="4"/>
        <v>1.0649999999999999</v>
      </c>
      <c r="K47" s="5">
        <v>532.5</v>
      </c>
      <c r="L47" s="6">
        <f t="shared" si="7"/>
        <v>0.53249999999999997</v>
      </c>
      <c r="M47" s="5">
        <v>2</v>
      </c>
      <c r="N47" s="4">
        <f t="shared" si="5"/>
        <v>3.1539999999999999</v>
      </c>
      <c r="O47" s="37">
        <v>1577</v>
      </c>
      <c r="P47" s="38">
        <f t="shared" si="1"/>
        <v>1.577</v>
      </c>
      <c r="Q47" s="37">
        <v>2</v>
      </c>
      <c r="R47" s="4">
        <f t="shared" si="2"/>
        <v>10.34896</v>
      </c>
      <c r="S47" s="7">
        <v>1293.6199999999999</v>
      </c>
      <c r="T47" s="8">
        <f t="shared" si="3"/>
        <v>1.29362</v>
      </c>
      <c r="U47" s="7">
        <v>8</v>
      </c>
      <c r="V47" s="3">
        <v>22.88</v>
      </c>
      <c r="W47" s="3">
        <v>11.994</v>
      </c>
      <c r="X47" s="3">
        <v>5.8129999999999997</v>
      </c>
      <c r="Y47" s="3">
        <v>2.9460000000000002</v>
      </c>
      <c r="Z47" s="3">
        <v>6.61</v>
      </c>
      <c r="AA47" s="3">
        <v>0.91</v>
      </c>
      <c r="AB47" s="3">
        <v>75.48</v>
      </c>
      <c r="AC47" s="3">
        <v>85.1</v>
      </c>
      <c r="AD47" s="3">
        <v>49.2</v>
      </c>
      <c r="AE47" s="3">
        <v>73.98</v>
      </c>
      <c r="AF47" s="3">
        <v>91.86</v>
      </c>
      <c r="AG47" s="3">
        <v>48.44</v>
      </c>
      <c r="AH47" s="3">
        <v>13.44</v>
      </c>
      <c r="AI47" s="3">
        <v>0.19</v>
      </c>
      <c r="AJ47" s="3">
        <v>70.73</v>
      </c>
      <c r="BB47" s="12"/>
    </row>
    <row r="48" spans="1:54" x14ac:dyDescent="0.35">
      <c r="A48" s="3">
        <v>56</v>
      </c>
      <c r="B48" s="3">
        <v>1</v>
      </c>
      <c r="C48" s="3">
        <v>8</v>
      </c>
      <c r="D48" s="3">
        <v>6</v>
      </c>
      <c r="E48" s="3">
        <v>8</v>
      </c>
      <c r="F48" s="3">
        <v>1081.0999999999999</v>
      </c>
      <c r="G48" s="4">
        <f t="shared" si="0"/>
        <v>1.0810999999999999</v>
      </c>
      <c r="H48" s="4">
        <f t="shared" si="6"/>
        <v>70.271500000000003</v>
      </c>
      <c r="I48" s="3">
        <v>65</v>
      </c>
      <c r="J48" s="4">
        <f t="shared" si="4"/>
        <v>0</v>
      </c>
      <c r="K48" s="5">
        <v>0</v>
      </c>
      <c r="L48" s="6">
        <f t="shared" si="7"/>
        <v>0</v>
      </c>
      <c r="M48" s="5">
        <v>0</v>
      </c>
      <c r="N48" s="4">
        <f t="shared" si="5"/>
        <v>3.488</v>
      </c>
      <c r="O48" s="37">
        <v>697.6</v>
      </c>
      <c r="P48" s="38">
        <f t="shared" si="1"/>
        <v>0.6976</v>
      </c>
      <c r="Q48" s="37">
        <v>5</v>
      </c>
      <c r="R48" s="4">
        <f t="shared" si="2"/>
        <v>7.7880000000000003</v>
      </c>
      <c r="S48" s="7">
        <v>1947</v>
      </c>
      <c r="T48" s="8">
        <f t="shared" si="3"/>
        <v>1.9470000000000001</v>
      </c>
      <c r="U48" s="7">
        <v>4</v>
      </c>
      <c r="V48" s="3">
        <v>22.34</v>
      </c>
      <c r="W48" s="3">
        <v>10.801</v>
      </c>
      <c r="X48" s="3">
        <v>4.726</v>
      </c>
      <c r="Y48" s="3">
        <v>2.99</v>
      </c>
      <c r="Z48" s="3">
        <v>4.78</v>
      </c>
      <c r="AA48" s="3">
        <v>1.08</v>
      </c>
      <c r="AB48" s="3">
        <v>79.69</v>
      </c>
      <c r="AC48" s="3">
        <v>86.15</v>
      </c>
      <c r="AD48" s="3">
        <v>52.22</v>
      </c>
      <c r="AE48" s="3">
        <v>77.62</v>
      </c>
      <c r="AF48" s="3">
        <v>91.8</v>
      </c>
      <c r="AG48" s="3">
        <v>50.43</v>
      </c>
      <c r="AH48" s="3">
        <v>12.5</v>
      </c>
      <c r="AI48" s="3">
        <v>0.15</v>
      </c>
      <c r="AJ48" s="3">
        <v>81.98</v>
      </c>
      <c r="BB48" s="12"/>
    </row>
    <row r="49" spans="1:56" x14ac:dyDescent="0.35">
      <c r="A49" s="3">
        <v>57</v>
      </c>
      <c r="B49" s="3">
        <v>10</v>
      </c>
      <c r="C49" s="3">
        <v>8</v>
      </c>
      <c r="D49" s="3">
        <v>7</v>
      </c>
      <c r="E49" s="3">
        <v>91</v>
      </c>
      <c r="F49" s="3">
        <v>1594.41</v>
      </c>
      <c r="G49" s="4">
        <f t="shared" si="0"/>
        <v>1.5944100000000001</v>
      </c>
      <c r="H49" s="4">
        <f t="shared" si="6"/>
        <v>103.63665</v>
      </c>
      <c r="I49" s="3">
        <v>65</v>
      </c>
      <c r="J49" s="4">
        <f t="shared" si="4"/>
        <v>0</v>
      </c>
      <c r="K49" s="5">
        <v>0</v>
      </c>
      <c r="L49" s="6">
        <f t="shared" si="7"/>
        <v>0</v>
      </c>
      <c r="M49" s="5">
        <v>0</v>
      </c>
      <c r="N49" s="4">
        <f t="shared" si="5"/>
        <v>4.6470000000000002</v>
      </c>
      <c r="O49" s="37">
        <v>1161.75</v>
      </c>
      <c r="P49" s="38">
        <f t="shared" si="1"/>
        <v>1.1617500000000001</v>
      </c>
      <c r="Q49" s="37">
        <v>4</v>
      </c>
      <c r="R49" s="4">
        <f t="shared" si="2"/>
        <v>8.0069999999999997</v>
      </c>
      <c r="S49" s="7">
        <v>2001.75</v>
      </c>
      <c r="T49" s="8">
        <f t="shared" si="3"/>
        <v>2.0017499999999999</v>
      </c>
      <c r="U49" s="7">
        <v>4</v>
      </c>
      <c r="V49" s="3">
        <v>27.74</v>
      </c>
      <c r="W49" s="3">
        <v>11.282999999999999</v>
      </c>
      <c r="X49" s="3">
        <v>5.3170000000000002</v>
      </c>
      <c r="Y49" s="3">
        <v>3.0630000000000002</v>
      </c>
      <c r="Z49" s="3">
        <v>2.5099999999999998</v>
      </c>
      <c r="AA49" s="3">
        <v>0.7</v>
      </c>
      <c r="AB49" s="3">
        <v>91.64</v>
      </c>
      <c r="AC49" s="3">
        <v>80.27</v>
      </c>
      <c r="AD49" s="3">
        <v>59.44</v>
      </c>
      <c r="AE49" s="3">
        <v>72.150000000000006</v>
      </c>
      <c r="AF49" s="3">
        <v>90.71</v>
      </c>
      <c r="AG49" s="3">
        <v>53</v>
      </c>
      <c r="AH49" s="3">
        <v>12.18</v>
      </c>
      <c r="AI49" s="3">
        <v>0.15</v>
      </c>
      <c r="AJ49" s="3">
        <v>81.2</v>
      </c>
      <c r="BB49" s="12"/>
    </row>
    <row r="50" spans="1:56" x14ac:dyDescent="0.35">
      <c r="A50" s="3">
        <v>58</v>
      </c>
      <c r="B50" s="3">
        <v>5</v>
      </c>
      <c r="C50" s="3">
        <v>8</v>
      </c>
      <c r="D50" s="3">
        <v>7</v>
      </c>
      <c r="E50" s="3">
        <v>48</v>
      </c>
      <c r="F50" s="3">
        <v>1633</v>
      </c>
      <c r="G50" s="4">
        <f t="shared" si="0"/>
        <v>1.633</v>
      </c>
      <c r="H50" s="4">
        <f t="shared" si="6"/>
        <v>68.585999999999999</v>
      </c>
      <c r="I50" s="3">
        <v>42</v>
      </c>
      <c r="J50" s="4">
        <f t="shared" si="4"/>
        <v>1.321</v>
      </c>
      <c r="K50" s="5">
        <v>1321</v>
      </c>
      <c r="L50" s="6">
        <f t="shared" si="7"/>
        <v>1.321</v>
      </c>
      <c r="M50" s="5">
        <v>1</v>
      </c>
      <c r="N50" s="4">
        <f t="shared" si="5"/>
        <v>10.069979999999999</v>
      </c>
      <c r="O50" s="37">
        <v>1678.33</v>
      </c>
      <c r="P50" s="38">
        <f t="shared" si="1"/>
        <v>1.6783299999999999</v>
      </c>
      <c r="Q50" s="37">
        <v>6</v>
      </c>
      <c r="R50" s="4">
        <f t="shared" si="2"/>
        <v>4.4199900000000003</v>
      </c>
      <c r="S50" s="7">
        <v>1473.33</v>
      </c>
      <c r="T50" s="8">
        <f t="shared" si="3"/>
        <v>1.47333</v>
      </c>
      <c r="U50" s="7">
        <v>3</v>
      </c>
      <c r="V50" s="3">
        <v>26</v>
      </c>
      <c r="W50" s="3">
        <v>11.195</v>
      </c>
      <c r="X50" s="3">
        <v>5.7229999999999999</v>
      </c>
      <c r="Y50" s="3">
        <v>2.9279999999999999</v>
      </c>
      <c r="Z50" s="3">
        <v>2.61</v>
      </c>
      <c r="AA50" s="3">
        <v>0.97</v>
      </c>
      <c r="AB50" s="3">
        <v>89.89</v>
      </c>
      <c r="AC50" s="3">
        <v>86.44</v>
      </c>
      <c r="AD50" s="3">
        <v>56.56</v>
      </c>
      <c r="AE50" s="3">
        <v>80.930000000000007</v>
      </c>
      <c r="AF50" s="3">
        <v>83.56</v>
      </c>
      <c r="AG50" s="3">
        <v>53.01</v>
      </c>
      <c r="AH50" s="3">
        <v>14.2</v>
      </c>
      <c r="AI50" s="3">
        <v>0.18</v>
      </c>
      <c r="AJ50" s="3">
        <v>80.58</v>
      </c>
      <c r="BB50" s="12"/>
    </row>
    <row r="51" spans="1:56" x14ac:dyDescent="0.35">
      <c r="A51" s="3">
        <v>59</v>
      </c>
      <c r="B51" s="3">
        <v>9</v>
      </c>
      <c r="C51" s="3">
        <v>8</v>
      </c>
      <c r="D51" s="3">
        <v>10</v>
      </c>
      <c r="E51" s="3">
        <v>73</v>
      </c>
      <c r="F51" s="3">
        <v>1274.21</v>
      </c>
      <c r="G51" s="4">
        <f t="shared" si="0"/>
        <v>1.2742100000000001</v>
      </c>
      <c r="H51" s="4">
        <f t="shared" si="6"/>
        <v>82.823650000000001</v>
      </c>
      <c r="I51" s="3">
        <v>65</v>
      </c>
      <c r="J51" s="4">
        <f t="shared" si="4"/>
        <v>3.4129800000000001</v>
      </c>
      <c r="K51" s="5">
        <v>568.83000000000004</v>
      </c>
      <c r="L51" s="6">
        <f t="shared" si="7"/>
        <v>0.56883000000000006</v>
      </c>
      <c r="M51" s="5">
        <v>6</v>
      </c>
      <c r="N51" s="4">
        <f t="shared" si="5"/>
        <v>7.51098</v>
      </c>
      <c r="O51" s="37">
        <v>1251.83</v>
      </c>
      <c r="P51" s="38">
        <f t="shared" si="1"/>
        <v>1.25183</v>
      </c>
      <c r="Q51" s="37">
        <v>6</v>
      </c>
      <c r="R51" s="4">
        <f t="shared" si="2"/>
        <v>3.7080000000000002</v>
      </c>
      <c r="S51" s="7">
        <v>1236</v>
      </c>
      <c r="T51" s="8">
        <f t="shared" si="3"/>
        <v>1.236</v>
      </c>
      <c r="U51" s="7">
        <v>3</v>
      </c>
      <c r="V51" s="3">
        <v>23.72</v>
      </c>
      <c r="W51" s="3">
        <v>10.327</v>
      </c>
      <c r="X51" s="3">
        <v>4.2709999999999999</v>
      </c>
      <c r="Y51" s="3">
        <v>3.0569999999999999</v>
      </c>
      <c r="Z51" s="3">
        <v>3.35</v>
      </c>
      <c r="AA51" s="3">
        <v>0.51</v>
      </c>
      <c r="AB51" s="3">
        <v>80.47</v>
      </c>
      <c r="AC51" s="3">
        <v>84.59</v>
      </c>
      <c r="AD51" s="3">
        <v>52.6</v>
      </c>
      <c r="AE51" s="3">
        <v>79.44</v>
      </c>
      <c r="AF51" s="3">
        <v>92.76</v>
      </c>
      <c r="AG51" s="3">
        <v>52.09</v>
      </c>
      <c r="AH51" s="3">
        <v>15.4</v>
      </c>
      <c r="AI51" s="3">
        <v>0.18</v>
      </c>
      <c r="AJ51" s="3">
        <v>86.97</v>
      </c>
      <c r="BB51" s="12"/>
    </row>
    <row r="52" spans="1:56" x14ac:dyDescent="0.35">
      <c r="A52" s="3">
        <v>60</v>
      </c>
      <c r="B52" s="3">
        <v>1</v>
      </c>
      <c r="C52" s="3">
        <v>8</v>
      </c>
      <c r="D52" s="3">
        <v>8</v>
      </c>
      <c r="E52" s="3">
        <v>8</v>
      </c>
      <c r="F52" s="3">
        <v>1350.92</v>
      </c>
      <c r="G52" s="4">
        <f t="shared" si="0"/>
        <v>1.3509200000000001</v>
      </c>
      <c r="H52" s="4">
        <f t="shared" si="6"/>
        <v>72.949680000000001</v>
      </c>
      <c r="I52" s="3">
        <v>54</v>
      </c>
      <c r="J52" s="4">
        <f t="shared" si="4"/>
        <v>2.7579900000000004</v>
      </c>
      <c r="K52" s="5">
        <v>919.33</v>
      </c>
      <c r="L52" s="6">
        <f t="shared" si="7"/>
        <v>0.91933000000000009</v>
      </c>
      <c r="M52" s="5">
        <v>3</v>
      </c>
      <c r="N52" s="4">
        <f t="shared" si="5"/>
        <v>1.4930000000000001</v>
      </c>
      <c r="O52" s="37">
        <v>746.5</v>
      </c>
      <c r="P52" s="38">
        <f t="shared" si="1"/>
        <v>0.74650000000000005</v>
      </c>
      <c r="Q52" s="37">
        <v>2</v>
      </c>
      <c r="R52" s="4">
        <f t="shared" si="2"/>
        <v>0</v>
      </c>
      <c r="S52" s="7">
        <v>0</v>
      </c>
      <c r="T52" s="8">
        <f t="shared" si="3"/>
        <v>0</v>
      </c>
      <c r="U52" s="7">
        <v>0</v>
      </c>
      <c r="V52" s="3">
        <v>26.28</v>
      </c>
      <c r="W52" s="3">
        <v>10.308</v>
      </c>
      <c r="X52" s="3">
        <v>4.4720000000000004</v>
      </c>
      <c r="Y52" s="3">
        <v>2.8170000000000002</v>
      </c>
      <c r="Z52" s="3">
        <v>3.33</v>
      </c>
      <c r="AA52" s="3">
        <v>0.68</v>
      </c>
      <c r="AB52" s="3">
        <v>84.23</v>
      </c>
      <c r="AC52" s="3">
        <v>82.14</v>
      </c>
      <c r="AD52" s="3">
        <v>55.23</v>
      </c>
      <c r="AE52" s="3">
        <v>82.62</v>
      </c>
      <c r="AF52" s="3">
        <v>86.28</v>
      </c>
      <c r="AG52" s="3">
        <v>54.11</v>
      </c>
      <c r="AH52" s="3">
        <v>13.3</v>
      </c>
      <c r="AI52" s="3">
        <v>0.19</v>
      </c>
      <c r="AJ52" s="3">
        <v>71.3</v>
      </c>
      <c r="BB52" s="12"/>
    </row>
    <row r="53" spans="1:56" x14ac:dyDescent="0.35">
      <c r="A53" s="3">
        <v>61</v>
      </c>
      <c r="B53" s="3">
        <v>2</v>
      </c>
      <c r="C53" s="3">
        <v>8</v>
      </c>
      <c r="D53" s="3">
        <v>3</v>
      </c>
      <c r="E53" s="3">
        <v>20</v>
      </c>
      <c r="F53" s="3">
        <v>1134.56</v>
      </c>
      <c r="G53" s="4">
        <f t="shared" si="0"/>
        <v>1.13456</v>
      </c>
      <c r="H53" s="4">
        <f t="shared" si="6"/>
        <v>89.630240000000001</v>
      </c>
      <c r="I53" s="3">
        <v>79</v>
      </c>
      <c r="J53" s="4">
        <f t="shared" si="4"/>
        <v>0.93</v>
      </c>
      <c r="K53" s="5">
        <v>465</v>
      </c>
      <c r="L53" s="6">
        <f t="shared" si="7"/>
        <v>0.46500000000000002</v>
      </c>
      <c r="M53" s="5">
        <v>2</v>
      </c>
      <c r="N53" s="4">
        <f t="shared" si="5"/>
        <v>3.0300000000000002</v>
      </c>
      <c r="O53" s="37">
        <v>1010</v>
      </c>
      <c r="P53" s="38">
        <f t="shared" si="1"/>
        <v>1.01</v>
      </c>
      <c r="Q53" s="37">
        <v>3</v>
      </c>
      <c r="R53" s="4">
        <f t="shared" si="2"/>
        <v>0</v>
      </c>
      <c r="S53" s="7">
        <v>0</v>
      </c>
      <c r="T53" s="8">
        <f t="shared" si="3"/>
        <v>0</v>
      </c>
      <c r="U53" s="7">
        <v>0</v>
      </c>
      <c r="V53" s="3">
        <v>22.6</v>
      </c>
      <c r="W53" s="3">
        <v>9.5229999999999997</v>
      </c>
      <c r="X53" s="3">
        <v>3.6970000000000001</v>
      </c>
      <c r="Y53" s="3">
        <v>2.8849999999999998</v>
      </c>
      <c r="Z53" s="3">
        <v>3.65</v>
      </c>
      <c r="AA53" s="3">
        <v>1.26</v>
      </c>
      <c r="AB53" s="3">
        <v>91.82</v>
      </c>
      <c r="AC53" s="3">
        <v>79.209999999999994</v>
      </c>
      <c r="AD53" s="3">
        <v>59.44</v>
      </c>
      <c r="AE53" s="3">
        <v>81.400000000000006</v>
      </c>
      <c r="AF53" s="3">
        <v>83.75</v>
      </c>
      <c r="AG53" s="3">
        <v>52.91</v>
      </c>
      <c r="AH53" s="3">
        <v>14.1</v>
      </c>
      <c r="AI53" s="3">
        <v>0.17</v>
      </c>
      <c r="AJ53" s="3">
        <v>82.34</v>
      </c>
      <c r="BB53" s="12"/>
    </row>
    <row r="54" spans="1:56" x14ac:dyDescent="0.35">
      <c r="A54" s="3">
        <v>62</v>
      </c>
      <c r="B54" s="3">
        <v>8</v>
      </c>
      <c r="C54" s="3">
        <v>8</v>
      </c>
      <c r="D54" s="3">
        <v>7</v>
      </c>
      <c r="E54" s="3">
        <v>68</v>
      </c>
      <c r="F54" s="3">
        <v>1394.11</v>
      </c>
      <c r="G54" s="4">
        <f t="shared" si="0"/>
        <v>1.39411</v>
      </c>
      <c r="H54" s="4">
        <f t="shared" si="6"/>
        <v>87.82893</v>
      </c>
      <c r="I54" s="3">
        <v>63</v>
      </c>
      <c r="J54" s="4">
        <f t="shared" si="4"/>
        <v>4.6429999999999998</v>
      </c>
      <c r="K54" s="5">
        <v>928.6</v>
      </c>
      <c r="L54" s="6">
        <f t="shared" si="7"/>
        <v>0.92859999999999998</v>
      </c>
      <c r="M54" s="5">
        <v>5</v>
      </c>
      <c r="N54" s="4">
        <f t="shared" si="5"/>
        <v>5.848980000000001</v>
      </c>
      <c r="O54" s="37">
        <v>1949.66</v>
      </c>
      <c r="P54" s="38">
        <f t="shared" si="1"/>
        <v>1.9496600000000002</v>
      </c>
      <c r="Q54" s="37">
        <v>3</v>
      </c>
      <c r="R54" s="4">
        <f t="shared" si="2"/>
        <v>6.4419899999999988</v>
      </c>
      <c r="S54" s="7">
        <v>2147.33</v>
      </c>
      <c r="T54" s="8">
        <f t="shared" si="3"/>
        <v>2.1473299999999997</v>
      </c>
      <c r="U54" s="7">
        <v>3</v>
      </c>
      <c r="V54" s="3">
        <v>24.22</v>
      </c>
      <c r="W54" s="3">
        <v>11.247</v>
      </c>
      <c r="X54" s="3">
        <v>5.4050000000000002</v>
      </c>
      <c r="Y54" s="3">
        <v>3.0630000000000002</v>
      </c>
      <c r="Z54" s="3">
        <v>4.01</v>
      </c>
      <c r="AA54" s="3">
        <v>1.3</v>
      </c>
      <c r="AB54" s="3">
        <v>86.8</v>
      </c>
      <c r="AC54" s="3">
        <v>83.38</v>
      </c>
      <c r="AD54" s="3">
        <v>54.98</v>
      </c>
      <c r="AE54" s="3">
        <v>90.63</v>
      </c>
      <c r="AF54" s="3">
        <v>78.63</v>
      </c>
      <c r="AG54" s="3">
        <v>56.73</v>
      </c>
      <c r="AH54" s="3">
        <v>11.7</v>
      </c>
      <c r="AI54" s="3">
        <v>0.16</v>
      </c>
      <c r="AJ54" s="3">
        <v>74.66</v>
      </c>
      <c r="BB54" s="12"/>
    </row>
    <row r="55" spans="1:56" x14ac:dyDescent="0.35">
      <c r="A55" s="3">
        <v>63</v>
      </c>
      <c r="B55" s="3">
        <v>8</v>
      </c>
      <c r="C55" s="3">
        <v>8</v>
      </c>
      <c r="D55" s="3">
        <v>2</v>
      </c>
      <c r="E55" s="3">
        <v>68</v>
      </c>
      <c r="F55" s="3">
        <v>1386.11</v>
      </c>
      <c r="G55" s="4">
        <f t="shared" si="0"/>
        <v>1.38611</v>
      </c>
      <c r="H55" s="4">
        <f t="shared" si="6"/>
        <v>106.73047</v>
      </c>
      <c r="I55" s="3">
        <v>77</v>
      </c>
      <c r="J55" s="4">
        <f t="shared" si="4"/>
        <v>1.681</v>
      </c>
      <c r="K55" s="5">
        <v>840.5</v>
      </c>
      <c r="L55" s="6">
        <f t="shared" si="7"/>
        <v>0.84050000000000002</v>
      </c>
      <c r="M55" s="5">
        <v>2</v>
      </c>
      <c r="N55" s="4">
        <f t="shared" si="5"/>
        <v>0</v>
      </c>
      <c r="O55" s="37">
        <v>0</v>
      </c>
      <c r="P55" s="38">
        <f t="shared" si="1"/>
        <v>0</v>
      </c>
      <c r="Q55" s="37">
        <v>0</v>
      </c>
      <c r="R55" s="4">
        <f t="shared" si="2"/>
        <v>3.5169999999999999</v>
      </c>
      <c r="S55" s="7">
        <v>1758.5</v>
      </c>
      <c r="T55" s="8">
        <f t="shared" si="3"/>
        <v>1.7585</v>
      </c>
      <c r="U55" s="7">
        <v>2</v>
      </c>
      <c r="V55" s="3">
        <v>23.48</v>
      </c>
      <c r="W55" s="3">
        <v>9.8870000000000005</v>
      </c>
      <c r="X55" s="3">
        <v>4.3010000000000002</v>
      </c>
      <c r="Y55" s="3">
        <v>2.74</v>
      </c>
      <c r="Z55" s="3">
        <v>2.79</v>
      </c>
      <c r="AA55" s="3">
        <v>0.6</v>
      </c>
      <c r="AB55" s="3">
        <v>77.91</v>
      </c>
      <c r="AC55" s="3">
        <v>85.14</v>
      </c>
      <c r="AD55" s="3">
        <v>50.55</v>
      </c>
      <c r="AE55" s="3">
        <v>76.02</v>
      </c>
      <c r="AF55" s="3">
        <v>96.71</v>
      </c>
      <c r="AG55" s="3">
        <v>49.65</v>
      </c>
      <c r="AH55" s="3">
        <v>13.5</v>
      </c>
      <c r="AI55" s="3">
        <v>0.18</v>
      </c>
      <c r="AJ55" s="3">
        <v>75.88</v>
      </c>
      <c r="BB55" s="12"/>
    </row>
    <row r="56" spans="1:56" x14ac:dyDescent="0.35">
      <c r="A56" s="3">
        <v>64</v>
      </c>
      <c r="B56" s="3">
        <v>3</v>
      </c>
      <c r="C56" s="3">
        <v>8</v>
      </c>
      <c r="D56" s="3">
        <v>2</v>
      </c>
      <c r="E56" s="3">
        <v>29</v>
      </c>
      <c r="F56" s="3">
        <v>830.87</v>
      </c>
      <c r="G56" s="4">
        <f t="shared" si="0"/>
        <v>0.83087</v>
      </c>
      <c r="H56" s="4">
        <f t="shared" si="6"/>
        <v>40.712629999999997</v>
      </c>
      <c r="I56" s="3">
        <v>49</v>
      </c>
      <c r="J56" s="4">
        <f t="shared" si="4"/>
        <v>0.35499999999999998</v>
      </c>
      <c r="K56" s="5">
        <v>355</v>
      </c>
      <c r="L56" s="6">
        <f t="shared" si="7"/>
        <v>0.35499999999999998</v>
      </c>
      <c r="M56" s="5">
        <v>1</v>
      </c>
      <c r="N56" s="4">
        <f t="shared" si="5"/>
        <v>3.867</v>
      </c>
      <c r="O56" s="37">
        <v>773.4</v>
      </c>
      <c r="P56" s="38">
        <f t="shared" si="1"/>
        <v>0.77339999999999998</v>
      </c>
      <c r="Q56" s="37">
        <v>5</v>
      </c>
      <c r="R56" s="4">
        <f t="shared" si="2"/>
        <v>0.995</v>
      </c>
      <c r="S56" s="7">
        <v>995</v>
      </c>
      <c r="T56" s="8">
        <f t="shared" si="3"/>
        <v>0.995</v>
      </c>
      <c r="U56" s="7">
        <v>1</v>
      </c>
      <c r="V56" s="3">
        <v>21.64</v>
      </c>
      <c r="W56" s="3">
        <v>10.914999999999999</v>
      </c>
      <c r="X56" s="3">
        <v>5.1260000000000003</v>
      </c>
      <c r="Y56" s="3">
        <v>3.0270000000000001</v>
      </c>
      <c r="Z56" s="3">
        <v>2.83</v>
      </c>
      <c r="AA56" s="3">
        <v>0.68</v>
      </c>
      <c r="AB56" s="3">
        <v>83.09</v>
      </c>
      <c r="AC56" s="3">
        <v>80.099999999999994</v>
      </c>
      <c r="AD56" s="3">
        <v>53.44</v>
      </c>
      <c r="AE56" s="3">
        <v>81.16</v>
      </c>
      <c r="AF56" s="3">
        <v>86.32</v>
      </c>
      <c r="AG56" s="3">
        <v>53.22</v>
      </c>
      <c r="AH56" s="3">
        <v>14.7</v>
      </c>
      <c r="AI56" s="3">
        <v>0.19</v>
      </c>
      <c r="AJ56" s="3">
        <v>78.62</v>
      </c>
      <c r="BB56" s="12"/>
    </row>
    <row r="57" spans="1:56" x14ac:dyDescent="0.35">
      <c r="A57" s="3">
        <v>65</v>
      </c>
      <c r="B57" s="3">
        <v>4</v>
      </c>
      <c r="C57" s="3">
        <v>8</v>
      </c>
      <c r="D57" s="3">
        <v>9</v>
      </c>
      <c r="E57" s="3">
        <v>37</v>
      </c>
      <c r="F57" s="3">
        <v>1177.5999999999999</v>
      </c>
      <c r="G57" s="4">
        <f t="shared" si="0"/>
        <v>1.1776</v>
      </c>
      <c r="H57" s="4">
        <f t="shared" si="6"/>
        <v>77.721599999999995</v>
      </c>
      <c r="I57" s="3">
        <v>66</v>
      </c>
      <c r="J57" s="4">
        <f t="shared" si="4"/>
        <v>2.7309900000000003</v>
      </c>
      <c r="K57" s="5">
        <v>910.33</v>
      </c>
      <c r="L57" s="6">
        <f t="shared" si="7"/>
        <v>0.91033000000000008</v>
      </c>
      <c r="M57" s="5">
        <v>3</v>
      </c>
      <c r="N57" s="4">
        <f t="shared" si="5"/>
        <v>3.1859999999999999</v>
      </c>
      <c r="O57" s="37">
        <v>796.5</v>
      </c>
      <c r="P57" s="38">
        <f t="shared" si="1"/>
        <v>0.79649999999999999</v>
      </c>
      <c r="Q57" s="37">
        <v>4</v>
      </c>
      <c r="R57" s="4">
        <f t="shared" si="2"/>
        <v>0</v>
      </c>
      <c r="S57" s="7">
        <v>0</v>
      </c>
      <c r="T57" s="8">
        <f t="shared" si="3"/>
        <v>0</v>
      </c>
      <c r="U57" s="7">
        <v>0</v>
      </c>
      <c r="V57" s="3">
        <v>20.239999999999998</v>
      </c>
      <c r="W57" s="3">
        <v>9.3940000000000001</v>
      </c>
      <c r="X57" s="3">
        <v>4.5490000000000004</v>
      </c>
      <c r="Y57" s="3">
        <v>2.5070000000000001</v>
      </c>
      <c r="Z57" s="3">
        <v>3.15</v>
      </c>
      <c r="AA57" s="3">
        <v>0.38</v>
      </c>
      <c r="AB57" s="3">
        <v>56.25</v>
      </c>
      <c r="AC57" s="3">
        <v>86.06</v>
      </c>
      <c r="AD57" s="3">
        <v>54.74</v>
      </c>
      <c r="AE57" s="3">
        <v>68.55</v>
      </c>
      <c r="AF57" s="3">
        <v>88.27</v>
      </c>
      <c r="AG57" s="3">
        <v>56.81</v>
      </c>
      <c r="AH57" s="3">
        <v>14.35</v>
      </c>
      <c r="AI57" s="3">
        <v>0.15</v>
      </c>
      <c r="AJ57" s="3">
        <v>132.38</v>
      </c>
      <c r="BB57" s="22"/>
      <c r="BC57" s="23"/>
      <c r="BD57" s="23"/>
    </row>
    <row r="58" spans="1:56" x14ac:dyDescent="0.35">
      <c r="A58" s="3">
        <v>66</v>
      </c>
      <c r="B58" s="3">
        <v>1</v>
      </c>
      <c r="C58" s="3">
        <v>8</v>
      </c>
      <c r="D58" s="3">
        <v>2</v>
      </c>
      <c r="E58" s="3">
        <v>8</v>
      </c>
      <c r="F58" s="3">
        <v>1244.93</v>
      </c>
      <c r="G58" s="4">
        <f t="shared" si="0"/>
        <v>1.2449300000000001</v>
      </c>
      <c r="H58" s="4">
        <f t="shared" si="6"/>
        <v>61.001570000000001</v>
      </c>
      <c r="I58" s="3">
        <v>49</v>
      </c>
      <c r="J58" s="4">
        <f t="shared" si="4"/>
        <v>0.16600000000000001</v>
      </c>
      <c r="K58" s="5">
        <v>166</v>
      </c>
      <c r="L58" s="6">
        <f t="shared" si="7"/>
        <v>0.16600000000000001</v>
      </c>
      <c r="M58" s="5">
        <v>1</v>
      </c>
      <c r="N58" s="4">
        <f t="shared" si="5"/>
        <v>0</v>
      </c>
      <c r="O58" s="37">
        <v>0</v>
      </c>
      <c r="P58" s="38">
        <f t="shared" si="1"/>
        <v>0</v>
      </c>
      <c r="Q58" s="37">
        <v>0</v>
      </c>
      <c r="R58" s="4">
        <f t="shared" si="2"/>
        <v>1.865</v>
      </c>
      <c r="S58" s="7">
        <v>1865</v>
      </c>
      <c r="T58" s="8">
        <f t="shared" si="3"/>
        <v>1.865</v>
      </c>
      <c r="U58" s="7">
        <v>1</v>
      </c>
      <c r="V58" s="3">
        <v>22.28</v>
      </c>
      <c r="W58" s="3">
        <v>9.42</v>
      </c>
      <c r="X58" s="3">
        <v>4.4740000000000002</v>
      </c>
      <c r="Y58" s="3">
        <v>2.5790000000000002</v>
      </c>
      <c r="Z58" s="3">
        <v>2.81</v>
      </c>
      <c r="AA58" s="3">
        <v>0.55000000000000004</v>
      </c>
      <c r="AB58" s="3">
        <v>84.5</v>
      </c>
      <c r="AC58" s="3">
        <v>83.14</v>
      </c>
      <c r="AD58" s="3">
        <v>53.4</v>
      </c>
      <c r="AE58" s="3">
        <v>79.95</v>
      </c>
      <c r="AF58" s="3">
        <v>84.37</v>
      </c>
      <c r="AG58" s="3">
        <v>50.08</v>
      </c>
      <c r="AH58" s="3">
        <v>13.3</v>
      </c>
      <c r="AI58" s="3">
        <v>0.16</v>
      </c>
      <c r="AJ58" s="3">
        <v>82.66</v>
      </c>
      <c r="BB58" s="12"/>
    </row>
    <row r="59" spans="1:56" x14ac:dyDescent="0.35">
      <c r="A59" s="3">
        <v>67</v>
      </c>
      <c r="B59" s="3">
        <v>10</v>
      </c>
      <c r="C59" s="3">
        <v>8</v>
      </c>
      <c r="D59" s="3">
        <v>8</v>
      </c>
      <c r="E59" s="3">
        <v>91</v>
      </c>
      <c r="F59" s="3">
        <v>822.59</v>
      </c>
      <c r="G59" s="4">
        <f t="shared" si="0"/>
        <v>0.82259000000000004</v>
      </c>
      <c r="H59" s="4">
        <f t="shared" si="6"/>
        <v>79.791229999999999</v>
      </c>
      <c r="I59" s="3">
        <v>97</v>
      </c>
      <c r="J59" s="4">
        <f t="shared" si="4"/>
        <v>1.615</v>
      </c>
      <c r="K59" s="5">
        <v>323</v>
      </c>
      <c r="L59" s="6">
        <f t="shared" si="7"/>
        <v>0.32300000000000001</v>
      </c>
      <c r="M59" s="5">
        <v>5</v>
      </c>
      <c r="N59" s="4">
        <f t="shared" si="5"/>
        <v>4.6800000000000006</v>
      </c>
      <c r="O59" s="37">
        <v>936</v>
      </c>
      <c r="P59" s="38">
        <f t="shared" si="1"/>
        <v>0.93600000000000005</v>
      </c>
      <c r="Q59" s="37">
        <v>5</v>
      </c>
      <c r="R59" s="4">
        <f t="shared" si="2"/>
        <v>3.25</v>
      </c>
      <c r="S59" s="7">
        <v>1625</v>
      </c>
      <c r="T59" s="8">
        <f t="shared" si="3"/>
        <v>1.625</v>
      </c>
      <c r="U59" s="7">
        <v>2</v>
      </c>
      <c r="V59" s="3">
        <v>19.72</v>
      </c>
      <c r="W59" s="3">
        <v>9.4640000000000004</v>
      </c>
      <c r="X59" s="3">
        <v>3.9239999999999999</v>
      </c>
      <c r="Y59" s="3">
        <v>3.133</v>
      </c>
      <c r="Z59" s="3">
        <v>2.5099999999999998</v>
      </c>
      <c r="AA59" s="3">
        <v>0.49</v>
      </c>
      <c r="AB59" s="3">
        <v>85.82</v>
      </c>
      <c r="AC59" s="3">
        <v>83.11</v>
      </c>
      <c r="AD59" s="3">
        <v>56.05</v>
      </c>
      <c r="AE59" s="3">
        <v>74.42</v>
      </c>
      <c r="AF59" s="3">
        <v>90.88</v>
      </c>
      <c r="AG59" s="3">
        <v>48.38</v>
      </c>
      <c r="AH59" s="3">
        <v>14.14</v>
      </c>
      <c r="AI59" s="3">
        <v>0.18</v>
      </c>
      <c r="AJ59" s="3">
        <v>78.55</v>
      </c>
      <c r="BB59" s="12"/>
    </row>
    <row r="60" spans="1:56" x14ac:dyDescent="0.35">
      <c r="A60" s="3">
        <v>68</v>
      </c>
      <c r="B60" s="3">
        <v>5</v>
      </c>
      <c r="C60" s="3">
        <v>8</v>
      </c>
      <c r="D60" s="3">
        <v>10</v>
      </c>
      <c r="E60" s="3">
        <v>48</v>
      </c>
      <c r="F60" s="3">
        <v>875.69</v>
      </c>
      <c r="G60" s="4">
        <f t="shared" si="0"/>
        <v>0.87569000000000008</v>
      </c>
      <c r="H60" s="4">
        <f t="shared" si="6"/>
        <v>91.071760000000012</v>
      </c>
      <c r="I60" s="3">
        <v>104</v>
      </c>
      <c r="J60" s="4">
        <f t="shared" si="4"/>
        <v>0</v>
      </c>
      <c r="K60" s="5">
        <v>0</v>
      </c>
      <c r="L60" s="6">
        <f t="shared" si="7"/>
        <v>0</v>
      </c>
      <c r="M60" s="5">
        <v>0</v>
      </c>
      <c r="N60" s="4">
        <f t="shared" si="5"/>
        <v>4.8049999999999997</v>
      </c>
      <c r="O60" s="37">
        <v>1201.25</v>
      </c>
      <c r="P60" s="38">
        <f t="shared" si="1"/>
        <v>1.2012499999999999</v>
      </c>
      <c r="Q60" s="37">
        <v>4</v>
      </c>
      <c r="R60" s="4">
        <f t="shared" si="2"/>
        <v>0.98499999999999999</v>
      </c>
      <c r="S60" s="7">
        <v>985</v>
      </c>
      <c r="T60" s="8">
        <f t="shared" si="3"/>
        <v>0.98499999999999999</v>
      </c>
      <c r="U60" s="7">
        <v>1</v>
      </c>
      <c r="V60" s="3">
        <v>19.43</v>
      </c>
      <c r="W60" s="3">
        <v>10.204000000000001</v>
      </c>
      <c r="X60" s="3">
        <v>4.2320000000000002</v>
      </c>
      <c r="Y60" s="3">
        <v>3.1179999999999999</v>
      </c>
      <c r="Z60" s="3">
        <v>6.66</v>
      </c>
      <c r="AA60" s="3">
        <v>0.93</v>
      </c>
      <c r="AB60" s="3">
        <v>90.75</v>
      </c>
      <c r="AC60" s="3">
        <v>71.55</v>
      </c>
      <c r="AD60" s="3">
        <v>58.79</v>
      </c>
      <c r="AE60" s="3">
        <v>82.85</v>
      </c>
      <c r="AF60" s="3">
        <v>72.94</v>
      </c>
      <c r="AG60" s="3">
        <v>54.31</v>
      </c>
      <c r="AH60" s="3">
        <v>13.1</v>
      </c>
      <c r="AI60" s="3">
        <v>0.16</v>
      </c>
      <c r="AJ60" s="3">
        <v>81.17</v>
      </c>
      <c r="BB60" s="12"/>
    </row>
    <row r="61" spans="1:56" x14ac:dyDescent="0.35">
      <c r="A61" s="3">
        <v>69</v>
      </c>
      <c r="B61" s="3">
        <v>1</v>
      </c>
      <c r="C61" s="3">
        <v>8</v>
      </c>
      <c r="D61" s="3">
        <v>4</v>
      </c>
      <c r="E61" s="3">
        <v>8</v>
      </c>
      <c r="F61" s="3">
        <v>980.65</v>
      </c>
      <c r="G61" s="4">
        <f t="shared" si="0"/>
        <v>0.98065000000000002</v>
      </c>
      <c r="H61" s="4">
        <f t="shared" si="6"/>
        <v>59.819650000000003</v>
      </c>
      <c r="I61" s="3">
        <v>61</v>
      </c>
      <c r="J61" s="4">
        <f t="shared" si="4"/>
        <v>1.974</v>
      </c>
      <c r="K61" s="5">
        <v>394.8</v>
      </c>
      <c r="L61" s="6">
        <f t="shared" si="7"/>
        <v>0.39479999999999998</v>
      </c>
      <c r="M61" s="5">
        <v>5</v>
      </c>
      <c r="N61" s="4">
        <f t="shared" si="5"/>
        <v>2.2589999999999999</v>
      </c>
      <c r="O61" s="37">
        <v>1129.5</v>
      </c>
      <c r="P61" s="38">
        <f t="shared" si="1"/>
        <v>1.1294999999999999</v>
      </c>
      <c r="Q61" s="37">
        <v>2</v>
      </c>
      <c r="R61" s="4">
        <f t="shared" si="2"/>
        <v>0.16500000000000001</v>
      </c>
      <c r="S61" s="7">
        <v>165</v>
      </c>
      <c r="T61" s="8">
        <f t="shared" si="3"/>
        <v>0.16500000000000001</v>
      </c>
      <c r="U61" s="7">
        <v>1</v>
      </c>
      <c r="V61" s="3">
        <v>17.14</v>
      </c>
      <c r="W61" s="3">
        <v>8.3230000000000004</v>
      </c>
      <c r="X61" s="3">
        <v>3.7509999999999999</v>
      </c>
      <c r="Y61" s="3">
        <v>2.4180000000000001</v>
      </c>
      <c r="Z61" s="3">
        <v>2.65</v>
      </c>
      <c r="AA61" s="3">
        <v>0.61</v>
      </c>
      <c r="AB61" s="3">
        <v>84.69</v>
      </c>
      <c r="AC61" s="3">
        <v>85.15</v>
      </c>
      <c r="AD61" s="3">
        <v>53.88</v>
      </c>
      <c r="AE61" s="3">
        <v>78.349999999999994</v>
      </c>
      <c r="AF61" s="3">
        <v>89.3</v>
      </c>
      <c r="AG61" s="3">
        <v>50.37</v>
      </c>
      <c r="AH61" s="3">
        <v>14</v>
      </c>
      <c r="AI61" s="3">
        <v>0.15</v>
      </c>
      <c r="AJ61" s="3">
        <v>90.77</v>
      </c>
      <c r="BB61" s="12"/>
    </row>
    <row r="62" spans="1:56" x14ac:dyDescent="0.35">
      <c r="A62" s="3">
        <v>73</v>
      </c>
      <c r="B62" s="3">
        <v>8</v>
      </c>
      <c r="C62" s="3">
        <v>9</v>
      </c>
      <c r="D62" s="3">
        <v>1</v>
      </c>
      <c r="E62" s="3">
        <v>66</v>
      </c>
      <c r="F62" s="3">
        <v>1727.34</v>
      </c>
      <c r="G62" s="4">
        <f t="shared" si="0"/>
        <v>1.7273399999999999</v>
      </c>
      <c r="H62" s="4">
        <f t="shared" si="6"/>
        <v>74.275619999999989</v>
      </c>
      <c r="I62" s="3">
        <v>43</v>
      </c>
      <c r="J62" s="4">
        <f t="shared" si="4"/>
        <v>5.069</v>
      </c>
      <c r="K62" s="5">
        <v>1013.8</v>
      </c>
      <c r="L62" s="6">
        <f t="shared" si="7"/>
        <v>1.0138</v>
      </c>
      <c r="M62" s="5">
        <v>5</v>
      </c>
      <c r="N62" s="4">
        <f t="shared" si="5"/>
        <v>0.92500000000000004</v>
      </c>
      <c r="O62" s="37">
        <v>925</v>
      </c>
      <c r="P62" s="38">
        <f t="shared" si="1"/>
        <v>0.92500000000000004</v>
      </c>
      <c r="Q62" s="37">
        <v>1</v>
      </c>
      <c r="R62" s="4">
        <f t="shared" si="2"/>
        <v>7.43</v>
      </c>
      <c r="S62" s="7">
        <v>1857.5</v>
      </c>
      <c r="T62" s="8">
        <f t="shared" si="3"/>
        <v>1.8574999999999999</v>
      </c>
      <c r="U62" s="7">
        <v>4</v>
      </c>
      <c r="V62" s="3">
        <v>31.58</v>
      </c>
      <c r="W62" s="3">
        <v>12.234</v>
      </c>
      <c r="X62" s="3">
        <v>6.1529999999999996</v>
      </c>
      <c r="Y62" s="3">
        <v>3.4790000000000001</v>
      </c>
      <c r="Z62" s="3">
        <v>2.91</v>
      </c>
      <c r="AA62" s="3">
        <v>1.51</v>
      </c>
      <c r="AB62" s="3">
        <v>85.86</v>
      </c>
      <c r="AC62" s="3">
        <v>81.91</v>
      </c>
      <c r="AD62" s="3">
        <v>51.95</v>
      </c>
      <c r="AE62" s="3">
        <v>73.81</v>
      </c>
      <c r="AF62" s="3">
        <v>85.77</v>
      </c>
      <c r="AG62" s="3">
        <v>48.25</v>
      </c>
      <c r="AH62" s="3">
        <v>13</v>
      </c>
      <c r="AI62" s="3">
        <v>0.18</v>
      </c>
      <c r="AJ62" s="3">
        <v>74.069999999999993</v>
      </c>
    </row>
    <row r="63" spans="1:56" x14ac:dyDescent="0.35">
      <c r="A63" s="3">
        <v>74</v>
      </c>
      <c r="B63" s="3">
        <v>3</v>
      </c>
      <c r="C63" s="3">
        <v>9</v>
      </c>
      <c r="D63" s="3">
        <v>4</v>
      </c>
      <c r="E63" s="3">
        <v>16</v>
      </c>
      <c r="F63" s="3">
        <v>1387.61</v>
      </c>
      <c r="G63" s="4">
        <f t="shared" si="0"/>
        <v>1.38761</v>
      </c>
      <c r="H63" s="4">
        <f t="shared" si="6"/>
        <v>79.093770000000006</v>
      </c>
      <c r="I63" s="3">
        <v>57</v>
      </c>
      <c r="J63" s="4">
        <f t="shared" si="4"/>
        <v>1.2250000000000001</v>
      </c>
      <c r="K63" s="5">
        <v>612.5</v>
      </c>
      <c r="L63" s="6">
        <f t="shared" si="7"/>
        <v>0.61250000000000004</v>
      </c>
      <c r="M63" s="5">
        <v>2</v>
      </c>
      <c r="N63" s="4">
        <f t="shared" si="5"/>
        <v>1.29</v>
      </c>
      <c r="O63" s="37">
        <v>1290</v>
      </c>
      <c r="P63" s="38">
        <f t="shared" si="1"/>
        <v>1.29</v>
      </c>
      <c r="Q63" s="37">
        <v>1</v>
      </c>
      <c r="R63" s="4">
        <f t="shared" si="2"/>
        <v>6.3919799999999993</v>
      </c>
      <c r="S63" s="7">
        <v>2130.66</v>
      </c>
      <c r="T63" s="8">
        <f t="shared" si="3"/>
        <v>2.1306599999999998</v>
      </c>
      <c r="U63" s="7">
        <v>3</v>
      </c>
      <c r="V63" s="3">
        <v>21.53</v>
      </c>
      <c r="W63" s="3">
        <v>11.558999999999999</v>
      </c>
      <c r="X63" s="3">
        <v>6.0060000000000002</v>
      </c>
      <c r="Y63" s="3">
        <v>2.8220000000000001</v>
      </c>
      <c r="Z63" s="3">
        <v>3.42</v>
      </c>
      <c r="AA63" s="3">
        <v>0.98</v>
      </c>
      <c r="AB63" s="3">
        <v>74.44</v>
      </c>
      <c r="AC63" s="3">
        <v>84.83</v>
      </c>
      <c r="AD63" s="3">
        <v>48.66</v>
      </c>
      <c r="AE63" s="3">
        <v>74.290000000000006</v>
      </c>
      <c r="AF63" s="3">
        <v>86.65</v>
      </c>
      <c r="AG63" s="3">
        <v>48.7</v>
      </c>
      <c r="AH63" s="3">
        <v>14.2</v>
      </c>
      <c r="AI63" s="3">
        <v>0.17</v>
      </c>
      <c r="AJ63" s="3">
        <v>84.93</v>
      </c>
      <c r="BB63" s="12"/>
    </row>
    <row r="64" spans="1:56" x14ac:dyDescent="0.35">
      <c r="A64" s="3">
        <v>75</v>
      </c>
      <c r="B64" s="3">
        <v>9</v>
      </c>
      <c r="C64" s="3">
        <v>9</v>
      </c>
      <c r="D64" s="3">
        <v>5</v>
      </c>
      <c r="E64" s="3">
        <v>83</v>
      </c>
      <c r="F64" s="3">
        <v>1543.26</v>
      </c>
      <c r="G64" s="4">
        <f t="shared" si="0"/>
        <v>1.5432600000000001</v>
      </c>
      <c r="H64" s="4">
        <f t="shared" si="6"/>
        <v>87.965820000000008</v>
      </c>
      <c r="I64" s="3">
        <v>57</v>
      </c>
      <c r="J64" s="4">
        <f t="shared" si="4"/>
        <v>0.93300000000000005</v>
      </c>
      <c r="K64" s="5">
        <v>311</v>
      </c>
      <c r="L64" s="6">
        <f t="shared" si="7"/>
        <v>0.311</v>
      </c>
      <c r="M64" s="5">
        <v>3</v>
      </c>
      <c r="N64" s="4">
        <f t="shared" si="5"/>
        <v>0</v>
      </c>
      <c r="O64" s="37">
        <v>0</v>
      </c>
      <c r="P64" s="38">
        <f t="shared" si="1"/>
        <v>0</v>
      </c>
      <c r="Q64" s="37">
        <v>0</v>
      </c>
      <c r="R64" s="4">
        <f t="shared" si="2"/>
        <v>0</v>
      </c>
      <c r="S64" s="7">
        <v>0</v>
      </c>
      <c r="T64" s="8">
        <f t="shared" si="3"/>
        <v>0</v>
      </c>
      <c r="U64" s="7">
        <v>0</v>
      </c>
      <c r="V64" s="3">
        <v>22.44</v>
      </c>
      <c r="W64" s="3">
        <v>10.77</v>
      </c>
      <c r="X64" s="3">
        <v>5.24</v>
      </c>
      <c r="Y64" s="3">
        <v>2.8820000000000001</v>
      </c>
      <c r="Z64" s="3">
        <v>3.91</v>
      </c>
      <c r="AA64" s="3">
        <v>1.02</v>
      </c>
      <c r="AB64" s="3">
        <v>85.1</v>
      </c>
      <c r="AC64" s="3">
        <v>82.06</v>
      </c>
      <c r="AD64" s="3">
        <v>54.96</v>
      </c>
      <c r="AE64" s="3">
        <v>79.56</v>
      </c>
      <c r="AF64" s="3">
        <v>90.29</v>
      </c>
      <c r="AG64" s="3">
        <v>51.76</v>
      </c>
      <c r="AH64" s="3">
        <v>13.8</v>
      </c>
      <c r="AI64" s="3">
        <v>0.17</v>
      </c>
      <c r="AJ64" s="3">
        <v>81.349999999999994</v>
      </c>
      <c r="BB64" s="12"/>
    </row>
    <row r="65" spans="1:54" x14ac:dyDescent="0.35">
      <c r="A65" s="3">
        <v>76</v>
      </c>
      <c r="B65" s="3">
        <v>3</v>
      </c>
      <c r="C65" s="3">
        <v>9</v>
      </c>
      <c r="D65" s="3">
        <v>7</v>
      </c>
      <c r="E65" s="3">
        <v>16</v>
      </c>
      <c r="F65" s="3">
        <v>1254.96</v>
      </c>
      <c r="G65" s="4">
        <f t="shared" si="0"/>
        <v>1.2549600000000001</v>
      </c>
      <c r="H65" s="4">
        <f t="shared" si="6"/>
        <v>31.374000000000002</v>
      </c>
      <c r="I65" s="3">
        <v>25</v>
      </c>
      <c r="J65" s="4">
        <f t="shared" si="4"/>
        <v>0.74199999999999999</v>
      </c>
      <c r="K65" s="5">
        <v>371</v>
      </c>
      <c r="L65" s="6">
        <f t="shared" si="7"/>
        <v>0.371</v>
      </c>
      <c r="M65" s="5">
        <v>2</v>
      </c>
      <c r="N65" s="4">
        <f t="shared" si="5"/>
        <v>8.6599800000000009</v>
      </c>
      <c r="O65" s="37">
        <v>1443.33</v>
      </c>
      <c r="P65" s="38">
        <f t="shared" si="1"/>
        <v>1.44333</v>
      </c>
      <c r="Q65" s="37">
        <v>6</v>
      </c>
      <c r="R65" s="4">
        <f t="shared" si="2"/>
        <v>0</v>
      </c>
      <c r="S65" s="7">
        <v>0</v>
      </c>
      <c r="T65" s="8">
        <f t="shared" si="3"/>
        <v>0</v>
      </c>
      <c r="U65" s="7">
        <v>0</v>
      </c>
      <c r="V65" s="3">
        <v>27</v>
      </c>
      <c r="W65" s="3">
        <v>10.846</v>
      </c>
      <c r="X65" s="3">
        <v>5.7839999999999998</v>
      </c>
      <c r="Y65" s="3">
        <v>2.6970000000000001</v>
      </c>
      <c r="Z65" s="3">
        <v>5.46</v>
      </c>
      <c r="AA65" s="3">
        <v>1.34</v>
      </c>
      <c r="AB65" s="3">
        <v>57.07</v>
      </c>
      <c r="AC65" s="3">
        <v>60.99</v>
      </c>
      <c r="AD65" s="3">
        <v>36.33</v>
      </c>
      <c r="AE65" s="3">
        <v>50.73</v>
      </c>
      <c r="AF65" s="3">
        <v>68.42</v>
      </c>
      <c r="AG65" s="3">
        <v>33.11</v>
      </c>
      <c r="AH65" s="3">
        <v>14.5</v>
      </c>
      <c r="AI65" s="3">
        <v>0.15</v>
      </c>
      <c r="AJ65" s="3">
        <v>97.32</v>
      </c>
      <c r="BB65" s="12"/>
    </row>
    <row r="66" spans="1:54" x14ac:dyDescent="0.35">
      <c r="A66" s="3">
        <v>77</v>
      </c>
      <c r="B66" s="3">
        <v>1</v>
      </c>
      <c r="C66" s="3">
        <v>9</v>
      </c>
      <c r="D66" s="3">
        <v>1</v>
      </c>
      <c r="E66" s="3">
        <v>9</v>
      </c>
      <c r="F66" s="3">
        <v>1013.51</v>
      </c>
      <c r="G66" s="4">
        <f t="shared" si="0"/>
        <v>1.0135099999999999</v>
      </c>
      <c r="H66" s="4">
        <f t="shared" si="6"/>
        <v>39.526889999999995</v>
      </c>
      <c r="I66" s="3">
        <v>39</v>
      </c>
      <c r="J66" s="4">
        <f t="shared" si="4"/>
        <v>0.64500000000000002</v>
      </c>
      <c r="K66" s="5">
        <v>322.5</v>
      </c>
      <c r="L66" s="6">
        <f t="shared" si="7"/>
        <v>0.32250000000000001</v>
      </c>
      <c r="M66" s="5">
        <v>2</v>
      </c>
      <c r="N66" s="4">
        <f t="shared" si="5"/>
        <v>7.1849999999999996</v>
      </c>
      <c r="O66" s="37">
        <v>898.125</v>
      </c>
      <c r="P66" s="38">
        <f t="shared" si="1"/>
        <v>0.89812499999999995</v>
      </c>
      <c r="Q66" s="37">
        <v>8</v>
      </c>
      <c r="R66" s="4">
        <f t="shared" si="2"/>
        <v>0</v>
      </c>
      <c r="S66" s="7">
        <v>0</v>
      </c>
      <c r="T66" s="8">
        <f t="shared" si="3"/>
        <v>0</v>
      </c>
      <c r="U66" s="7">
        <v>0</v>
      </c>
      <c r="V66" s="3">
        <v>19.399999999999999</v>
      </c>
      <c r="W66" s="3">
        <v>8.9540000000000006</v>
      </c>
      <c r="X66" s="3">
        <v>4.0890000000000004</v>
      </c>
      <c r="Y66" s="3">
        <v>2.5150000000000001</v>
      </c>
      <c r="Z66" s="3">
        <v>3.87</v>
      </c>
      <c r="AA66" s="3">
        <v>0.91</v>
      </c>
      <c r="AB66" s="3">
        <v>78.540000000000006</v>
      </c>
      <c r="AC66" s="3">
        <v>81.23</v>
      </c>
      <c r="AD66" s="3">
        <v>51.44</v>
      </c>
      <c r="AE66" s="3">
        <v>73.599999999999994</v>
      </c>
      <c r="AF66" s="3">
        <v>91.76</v>
      </c>
      <c r="AG66" s="3">
        <v>48.26</v>
      </c>
      <c r="AH66" s="3">
        <v>13.2</v>
      </c>
      <c r="AI66" s="3">
        <v>0.17</v>
      </c>
      <c r="AJ66" s="3">
        <v>77.709999999999994</v>
      </c>
      <c r="BB66" s="12"/>
    </row>
    <row r="67" spans="1:54" x14ac:dyDescent="0.35">
      <c r="A67" s="3">
        <v>78</v>
      </c>
      <c r="B67" s="3">
        <v>3</v>
      </c>
      <c r="C67" s="3">
        <v>9</v>
      </c>
      <c r="D67" s="3">
        <v>1</v>
      </c>
      <c r="E67" s="3">
        <v>16</v>
      </c>
      <c r="F67" s="3">
        <v>1492.1</v>
      </c>
      <c r="G67" s="4">
        <f t="shared" ref="G67:G130" si="8">F67/1000</f>
        <v>1.4921</v>
      </c>
      <c r="H67" s="4">
        <f t="shared" si="6"/>
        <v>58.191899999999997</v>
      </c>
      <c r="I67" s="3">
        <v>39</v>
      </c>
      <c r="J67" s="4">
        <f t="shared" ref="J67:J130" si="9">L67*M67</f>
        <v>2.18499</v>
      </c>
      <c r="K67" s="5">
        <v>728.33</v>
      </c>
      <c r="L67" s="6">
        <f t="shared" si="7"/>
        <v>0.72833000000000003</v>
      </c>
      <c r="M67" s="5">
        <v>3</v>
      </c>
      <c r="N67" s="4">
        <f t="shared" si="5"/>
        <v>0</v>
      </c>
      <c r="O67" s="37">
        <v>0</v>
      </c>
      <c r="P67" s="38">
        <f t="shared" ref="P67:P130" si="10">O67/1000</f>
        <v>0</v>
      </c>
      <c r="Q67" s="37">
        <v>0</v>
      </c>
      <c r="R67" s="4">
        <f t="shared" ref="R67:R130" si="11">T67*U67</f>
        <v>0</v>
      </c>
      <c r="S67" s="7">
        <v>0</v>
      </c>
      <c r="T67" s="8">
        <f t="shared" ref="T67:T130" si="12">S67/1000</f>
        <v>0</v>
      </c>
      <c r="U67" s="7">
        <v>0</v>
      </c>
      <c r="V67" s="3">
        <v>25.08</v>
      </c>
      <c r="W67" s="3">
        <v>10.942</v>
      </c>
      <c r="X67" s="3">
        <v>4.99</v>
      </c>
      <c r="Y67" s="3">
        <v>3.3849999999999998</v>
      </c>
      <c r="Z67" s="3">
        <v>3.85</v>
      </c>
      <c r="AA67" s="3">
        <v>0.75</v>
      </c>
      <c r="AB67" s="3">
        <v>76.709999999999994</v>
      </c>
      <c r="AC67" s="3">
        <v>89.03</v>
      </c>
      <c r="AD67" s="3">
        <v>49.24</v>
      </c>
      <c r="AE67" s="3">
        <v>80.819999999999993</v>
      </c>
      <c r="AF67" s="3">
        <v>94.99</v>
      </c>
      <c r="AG67" s="3">
        <v>50.03</v>
      </c>
      <c r="AH67" s="3">
        <v>12.7</v>
      </c>
      <c r="AI67" s="3">
        <v>0.16</v>
      </c>
      <c r="AJ67" s="3">
        <v>80.86</v>
      </c>
      <c r="BB67" s="12"/>
    </row>
    <row r="68" spans="1:54" x14ac:dyDescent="0.35">
      <c r="A68" s="3">
        <v>79</v>
      </c>
      <c r="B68" s="3">
        <v>10</v>
      </c>
      <c r="C68" s="3">
        <v>9</v>
      </c>
      <c r="D68" s="3">
        <v>3</v>
      </c>
      <c r="E68" s="3">
        <v>97</v>
      </c>
      <c r="F68" s="3">
        <v>1269.7</v>
      </c>
      <c r="G68" s="4">
        <f t="shared" si="8"/>
        <v>1.2697000000000001</v>
      </c>
      <c r="H68" s="4">
        <f t="shared" si="6"/>
        <v>49.518300000000004</v>
      </c>
      <c r="I68" s="3">
        <v>39</v>
      </c>
      <c r="J68" s="4">
        <f t="shared" si="9"/>
        <v>0</v>
      </c>
      <c r="K68" s="5">
        <v>0</v>
      </c>
      <c r="L68" s="6">
        <f t="shared" si="7"/>
        <v>0</v>
      </c>
      <c r="M68" s="5">
        <v>0</v>
      </c>
      <c r="N68" s="4">
        <f t="shared" ref="N68:N131" si="13">P68*Q68</f>
        <v>3.6509999999999998</v>
      </c>
      <c r="O68" s="37">
        <v>1825.5</v>
      </c>
      <c r="P68" s="38">
        <f t="shared" si="10"/>
        <v>1.8254999999999999</v>
      </c>
      <c r="Q68" s="37">
        <v>2</v>
      </c>
      <c r="R68" s="4">
        <f t="shared" si="11"/>
        <v>2.23</v>
      </c>
      <c r="S68" s="7">
        <v>2230</v>
      </c>
      <c r="T68" s="8">
        <f t="shared" si="12"/>
        <v>2.23</v>
      </c>
      <c r="U68" s="7">
        <v>1</v>
      </c>
      <c r="V68" s="3">
        <v>19.86</v>
      </c>
      <c r="W68" s="3">
        <v>10.015000000000001</v>
      </c>
      <c r="X68" s="3">
        <v>4.2370000000000001</v>
      </c>
      <c r="Y68" s="3">
        <v>2.831</v>
      </c>
      <c r="Z68" s="3">
        <v>3.8</v>
      </c>
      <c r="AA68" s="3">
        <v>1.03</v>
      </c>
      <c r="AB68" s="3">
        <v>58.41</v>
      </c>
      <c r="AC68" s="3">
        <v>57.34</v>
      </c>
      <c r="AD68" s="3">
        <v>36.369999999999997</v>
      </c>
      <c r="AE68" s="3">
        <v>55.91</v>
      </c>
      <c r="AF68" s="3">
        <v>62.96</v>
      </c>
      <c r="AG68" s="3">
        <v>33.35</v>
      </c>
      <c r="AH68" s="3">
        <v>15.7</v>
      </c>
      <c r="AI68" s="3">
        <v>0.14000000000000001</v>
      </c>
      <c r="AJ68" s="3">
        <v>109.79</v>
      </c>
      <c r="BB68" s="12"/>
    </row>
    <row r="69" spans="1:54" x14ac:dyDescent="0.35">
      <c r="A69" s="3">
        <v>80</v>
      </c>
      <c r="B69" s="3">
        <v>2</v>
      </c>
      <c r="C69" s="3">
        <v>9</v>
      </c>
      <c r="D69" s="3">
        <v>1</v>
      </c>
      <c r="E69" s="3">
        <v>14</v>
      </c>
      <c r="F69" s="3">
        <v>1229.3499999999999</v>
      </c>
      <c r="G69" s="4">
        <f t="shared" si="8"/>
        <v>1.2293499999999999</v>
      </c>
      <c r="H69" s="4">
        <f t="shared" ref="H69:H132" si="14">G69*I69</f>
        <v>97.118650000000002</v>
      </c>
      <c r="I69" s="3">
        <v>79</v>
      </c>
      <c r="J69" s="4">
        <f t="shared" si="9"/>
        <v>0.2</v>
      </c>
      <c r="K69" s="5">
        <v>200</v>
      </c>
      <c r="L69" s="6">
        <f t="shared" ref="L69:L132" si="15">K69/1000</f>
        <v>0.2</v>
      </c>
      <c r="M69" s="5">
        <v>1</v>
      </c>
      <c r="N69" s="4">
        <f t="shared" si="13"/>
        <v>0</v>
      </c>
      <c r="O69" s="37">
        <v>0</v>
      </c>
      <c r="P69" s="38">
        <f t="shared" si="10"/>
        <v>0</v>
      </c>
      <c r="Q69" s="37">
        <v>0</v>
      </c>
      <c r="R69" s="4">
        <f t="shared" si="11"/>
        <v>0</v>
      </c>
      <c r="S69" s="7">
        <v>0</v>
      </c>
      <c r="T69" s="8">
        <f t="shared" si="12"/>
        <v>0</v>
      </c>
      <c r="U69" s="7">
        <v>0</v>
      </c>
      <c r="V69" s="3">
        <v>22.62</v>
      </c>
      <c r="W69" s="3">
        <v>10.010999999999999</v>
      </c>
      <c r="X69" s="3">
        <v>4.8460000000000001</v>
      </c>
      <c r="Y69" s="3">
        <v>2.8410000000000002</v>
      </c>
      <c r="Z69" s="3">
        <v>4.93</v>
      </c>
      <c r="AA69" s="3">
        <v>1.1499999999999999</v>
      </c>
      <c r="AB69" s="3">
        <v>70.17</v>
      </c>
      <c r="AC69" s="3">
        <v>92.37</v>
      </c>
      <c r="AD69" s="3">
        <v>45.86</v>
      </c>
      <c r="AE69" s="3">
        <v>68.62</v>
      </c>
      <c r="AF69" s="3">
        <v>84.83</v>
      </c>
      <c r="AG69" s="3">
        <v>43.7</v>
      </c>
      <c r="AH69" s="3">
        <v>14.9</v>
      </c>
      <c r="AI69" s="3">
        <v>0.19</v>
      </c>
      <c r="AJ69" s="3">
        <v>78.83</v>
      </c>
      <c r="BB69" s="12"/>
    </row>
    <row r="70" spans="1:54" x14ac:dyDescent="0.35">
      <c r="A70" s="3">
        <v>81</v>
      </c>
      <c r="B70" s="3">
        <v>2</v>
      </c>
      <c r="C70" s="3">
        <v>9</v>
      </c>
      <c r="D70" s="3">
        <v>3</v>
      </c>
      <c r="E70" s="3">
        <v>14</v>
      </c>
      <c r="F70" s="3">
        <v>1408.67</v>
      </c>
      <c r="G70" s="4">
        <f t="shared" si="8"/>
        <v>1.4086700000000001</v>
      </c>
      <c r="H70" s="4">
        <f t="shared" si="14"/>
        <v>77.476849999999999</v>
      </c>
      <c r="I70" s="3">
        <v>55</v>
      </c>
      <c r="J70" s="4">
        <f t="shared" si="9"/>
        <v>4.0949999999999998</v>
      </c>
      <c r="K70" s="5">
        <v>682.5</v>
      </c>
      <c r="L70" s="6">
        <f t="shared" si="15"/>
        <v>0.6825</v>
      </c>
      <c r="M70" s="5">
        <v>6</v>
      </c>
      <c r="N70" s="4">
        <f t="shared" si="13"/>
        <v>1.895</v>
      </c>
      <c r="O70" s="37">
        <v>1895</v>
      </c>
      <c r="P70" s="38">
        <f t="shared" si="10"/>
        <v>1.895</v>
      </c>
      <c r="Q70" s="37">
        <v>1</v>
      </c>
      <c r="R70" s="4">
        <f t="shared" si="11"/>
        <v>0</v>
      </c>
      <c r="S70" s="7">
        <v>0</v>
      </c>
      <c r="T70" s="8">
        <f t="shared" si="12"/>
        <v>0</v>
      </c>
      <c r="U70" s="7">
        <v>0</v>
      </c>
      <c r="V70" s="3">
        <v>21.75</v>
      </c>
      <c r="W70" s="3">
        <v>10.622999999999999</v>
      </c>
      <c r="X70" s="3">
        <v>5.3849999999999998</v>
      </c>
      <c r="Y70" s="3">
        <v>3.0470000000000002</v>
      </c>
      <c r="Z70" s="3">
        <v>4.7</v>
      </c>
      <c r="AA70" s="3">
        <v>0.98</v>
      </c>
      <c r="AB70" s="3">
        <v>88.67</v>
      </c>
      <c r="AC70" s="3">
        <v>73.06</v>
      </c>
      <c r="AD70" s="3">
        <v>56.83</v>
      </c>
      <c r="AE70" s="3">
        <v>75.849999999999994</v>
      </c>
      <c r="AF70" s="3">
        <v>88.47</v>
      </c>
      <c r="AG70" s="3">
        <v>49.62</v>
      </c>
      <c r="AH70" s="3">
        <v>14.1</v>
      </c>
      <c r="AI70" s="3">
        <v>0.16</v>
      </c>
      <c r="AJ70" s="3">
        <v>88.24</v>
      </c>
      <c r="BB70" s="12"/>
    </row>
    <row r="71" spans="1:54" x14ac:dyDescent="0.35">
      <c r="A71" s="3">
        <v>82</v>
      </c>
      <c r="B71" s="3">
        <v>2</v>
      </c>
      <c r="C71" s="3">
        <v>9</v>
      </c>
      <c r="D71" s="3">
        <v>2</v>
      </c>
      <c r="E71" s="3">
        <v>14</v>
      </c>
      <c r="F71" s="3">
        <v>1774.69</v>
      </c>
      <c r="G71" s="4">
        <f t="shared" si="8"/>
        <v>1.7746900000000001</v>
      </c>
      <c r="H71" s="4">
        <f>G71*I71</f>
        <v>94.058570000000003</v>
      </c>
      <c r="I71" s="3">
        <v>53</v>
      </c>
      <c r="J71" s="4">
        <f t="shared" si="9"/>
        <v>1.5</v>
      </c>
      <c r="K71" s="5">
        <v>500</v>
      </c>
      <c r="L71" s="6">
        <f t="shared" si="15"/>
        <v>0.5</v>
      </c>
      <c r="M71" s="5">
        <v>3</v>
      </c>
      <c r="N71" s="4">
        <f t="shared" si="13"/>
        <v>9.0239999999999991</v>
      </c>
      <c r="O71" s="37">
        <v>2256</v>
      </c>
      <c r="P71" s="38">
        <f t="shared" si="10"/>
        <v>2.2559999999999998</v>
      </c>
      <c r="Q71" s="37">
        <v>4</v>
      </c>
      <c r="R71" s="4">
        <f t="shared" si="11"/>
        <v>0</v>
      </c>
      <c r="S71" s="7">
        <v>0</v>
      </c>
      <c r="T71" s="8">
        <f t="shared" si="12"/>
        <v>0</v>
      </c>
      <c r="U71" s="7">
        <v>0</v>
      </c>
      <c r="V71" s="3">
        <v>23.93</v>
      </c>
      <c r="W71" s="3">
        <v>10.484999999999999</v>
      </c>
      <c r="X71" s="3">
        <v>4.3079999999999998</v>
      </c>
      <c r="Y71" s="3">
        <v>3.01</v>
      </c>
      <c r="Z71" s="3">
        <v>3.75</v>
      </c>
      <c r="AA71" s="3">
        <v>0.92</v>
      </c>
      <c r="AB71" s="3">
        <v>87.96</v>
      </c>
      <c r="AC71" s="3">
        <v>86.73</v>
      </c>
      <c r="AD71" s="3">
        <v>54.07</v>
      </c>
      <c r="AE71" s="3">
        <v>80.42</v>
      </c>
      <c r="AF71" s="3">
        <v>96.82</v>
      </c>
      <c r="AG71" s="3">
        <v>51.44</v>
      </c>
      <c r="AH71" s="3">
        <v>12.2</v>
      </c>
      <c r="AI71" s="3">
        <v>0.15</v>
      </c>
      <c r="AJ71" s="3">
        <v>83.48</v>
      </c>
      <c r="BB71" s="12"/>
    </row>
    <row r="72" spans="1:54" x14ac:dyDescent="0.35">
      <c r="A72" s="3">
        <v>83</v>
      </c>
      <c r="B72" s="3">
        <v>3</v>
      </c>
      <c r="C72" s="3">
        <v>9</v>
      </c>
      <c r="D72" s="3">
        <v>9</v>
      </c>
      <c r="E72" s="3">
        <v>16</v>
      </c>
      <c r="F72" s="3">
        <v>1255.68</v>
      </c>
      <c r="G72" s="4">
        <f t="shared" si="8"/>
        <v>1.2556800000000001</v>
      </c>
      <c r="H72" s="4">
        <f t="shared" si="14"/>
        <v>51.482880000000009</v>
      </c>
      <c r="I72" s="3">
        <v>41</v>
      </c>
      <c r="J72" s="4">
        <f t="shared" si="9"/>
        <v>0.55000000000000004</v>
      </c>
      <c r="K72" s="5">
        <v>275</v>
      </c>
      <c r="L72" s="6">
        <f t="shared" si="15"/>
        <v>0.27500000000000002</v>
      </c>
      <c r="M72" s="5">
        <v>2</v>
      </c>
      <c r="N72" s="4">
        <f t="shared" si="13"/>
        <v>0</v>
      </c>
      <c r="O72" s="37">
        <v>0</v>
      </c>
      <c r="P72" s="38">
        <f t="shared" si="10"/>
        <v>0</v>
      </c>
      <c r="Q72" s="37">
        <v>0</v>
      </c>
      <c r="R72" s="4">
        <f t="shared" si="11"/>
        <v>0</v>
      </c>
      <c r="S72" s="7">
        <v>0</v>
      </c>
      <c r="T72" s="8">
        <f t="shared" si="12"/>
        <v>0</v>
      </c>
      <c r="U72" s="7">
        <v>0</v>
      </c>
      <c r="V72" s="3">
        <v>23.06</v>
      </c>
      <c r="W72" s="3">
        <v>10.569000000000001</v>
      </c>
      <c r="X72" s="3">
        <v>4.915</v>
      </c>
      <c r="Y72" s="3">
        <v>2.794</v>
      </c>
      <c r="Z72" s="3">
        <v>4.74</v>
      </c>
      <c r="AA72" s="3">
        <v>0.81</v>
      </c>
      <c r="AB72" s="3">
        <v>89.55</v>
      </c>
      <c r="AC72" s="3">
        <v>77.760000000000005</v>
      </c>
      <c r="AD72" s="3">
        <v>50.44</v>
      </c>
      <c r="AE72" s="3">
        <v>83.36</v>
      </c>
      <c r="AF72" s="3">
        <v>82.43</v>
      </c>
      <c r="AG72" s="3">
        <v>49.29</v>
      </c>
      <c r="AH72" s="3">
        <v>12.4</v>
      </c>
      <c r="AI72" s="3">
        <v>0.15</v>
      </c>
      <c r="AJ72" s="3">
        <v>81.66</v>
      </c>
      <c r="BB72" s="12"/>
    </row>
    <row r="73" spans="1:54" x14ac:dyDescent="0.35">
      <c r="A73" s="3">
        <v>84</v>
      </c>
      <c r="B73" s="3">
        <v>9</v>
      </c>
      <c r="C73" s="3">
        <v>9</v>
      </c>
      <c r="D73" s="3">
        <v>1</v>
      </c>
      <c r="E73" s="3">
        <v>83</v>
      </c>
      <c r="F73" s="3">
        <v>1244.69</v>
      </c>
      <c r="G73" s="4">
        <f t="shared" si="8"/>
        <v>1.2446900000000001</v>
      </c>
      <c r="H73" s="4">
        <f t="shared" si="14"/>
        <v>64.723880000000008</v>
      </c>
      <c r="I73" s="3">
        <v>52</v>
      </c>
      <c r="J73" s="4">
        <f t="shared" si="9"/>
        <v>1.115</v>
      </c>
      <c r="K73" s="5">
        <v>557.5</v>
      </c>
      <c r="L73" s="6">
        <f t="shared" si="15"/>
        <v>0.5575</v>
      </c>
      <c r="M73" s="5">
        <v>2</v>
      </c>
      <c r="N73" s="4">
        <f t="shared" si="13"/>
        <v>2.7450000000000001</v>
      </c>
      <c r="O73" s="37">
        <v>2745</v>
      </c>
      <c r="P73" s="38">
        <f t="shared" si="10"/>
        <v>2.7450000000000001</v>
      </c>
      <c r="Q73" s="37">
        <v>1</v>
      </c>
      <c r="R73" s="4">
        <f t="shared" si="11"/>
        <v>0</v>
      </c>
      <c r="S73" s="7">
        <v>0</v>
      </c>
      <c r="T73" s="8">
        <f t="shared" si="12"/>
        <v>0</v>
      </c>
      <c r="U73" s="7">
        <v>0</v>
      </c>
      <c r="V73" s="3">
        <v>24.18</v>
      </c>
      <c r="W73" s="3">
        <v>10.836</v>
      </c>
      <c r="X73" s="3">
        <v>5.774</v>
      </c>
      <c r="Y73" s="3">
        <v>2.7170000000000001</v>
      </c>
      <c r="Z73" s="3">
        <v>1.72</v>
      </c>
      <c r="AA73" s="3">
        <v>0.78</v>
      </c>
      <c r="AB73" s="3">
        <v>65.77</v>
      </c>
      <c r="AC73" s="3">
        <v>72.84</v>
      </c>
      <c r="AD73" s="3">
        <v>43.3</v>
      </c>
      <c r="AE73" s="3">
        <v>59.29</v>
      </c>
      <c r="AF73" s="3">
        <v>80.569999999999993</v>
      </c>
      <c r="AG73" s="3">
        <v>39.08</v>
      </c>
      <c r="AH73" s="3">
        <v>14.4</v>
      </c>
      <c r="AI73" s="3">
        <v>0.14000000000000001</v>
      </c>
      <c r="AJ73" s="3">
        <v>99.65</v>
      </c>
      <c r="BB73" s="12"/>
    </row>
    <row r="74" spans="1:54" x14ac:dyDescent="0.35">
      <c r="A74" s="3">
        <v>85</v>
      </c>
      <c r="B74" s="3">
        <v>5</v>
      </c>
      <c r="C74" s="3">
        <v>9</v>
      </c>
      <c r="D74" s="3">
        <v>10</v>
      </c>
      <c r="E74" s="3">
        <v>43</v>
      </c>
      <c r="F74" s="3">
        <v>1191.58</v>
      </c>
      <c r="G74" s="4">
        <f t="shared" si="8"/>
        <v>1.1915799999999999</v>
      </c>
      <c r="H74" s="4">
        <f t="shared" si="14"/>
        <v>66.72847999999999</v>
      </c>
      <c r="I74" s="3">
        <v>56</v>
      </c>
      <c r="J74" s="4">
        <f t="shared" si="9"/>
        <v>7.3849600000000004</v>
      </c>
      <c r="K74" s="5">
        <v>671.36</v>
      </c>
      <c r="L74" s="6">
        <f t="shared" si="15"/>
        <v>0.67136000000000007</v>
      </c>
      <c r="M74" s="5">
        <v>11</v>
      </c>
      <c r="N74" s="4">
        <f t="shared" si="13"/>
        <v>0</v>
      </c>
      <c r="O74" s="37">
        <v>0</v>
      </c>
      <c r="P74" s="38">
        <f t="shared" si="10"/>
        <v>0</v>
      </c>
      <c r="Q74" s="37">
        <v>0</v>
      </c>
      <c r="R74" s="4">
        <f t="shared" si="11"/>
        <v>1.5449999999999999</v>
      </c>
      <c r="S74" s="7">
        <v>1545</v>
      </c>
      <c r="T74" s="8">
        <f t="shared" si="12"/>
        <v>1.5449999999999999</v>
      </c>
      <c r="U74" s="7">
        <v>1</v>
      </c>
      <c r="V74" s="3">
        <v>25.48</v>
      </c>
      <c r="W74" s="3">
        <v>11.082000000000001</v>
      </c>
      <c r="X74" s="3">
        <v>5.2069999999999999</v>
      </c>
      <c r="Y74" s="3">
        <v>2.8719999999999999</v>
      </c>
      <c r="Z74" s="3">
        <v>3.61</v>
      </c>
      <c r="AA74" s="3">
        <v>0.91</v>
      </c>
      <c r="AB74" s="3">
        <v>80.25</v>
      </c>
      <c r="AC74" s="3">
        <v>86.14</v>
      </c>
      <c r="AD74" s="3">
        <v>51.22</v>
      </c>
      <c r="AE74" s="3">
        <v>79.95</v>
      </c>
      <c r="AF74" s="3">
        <v>81.569999999999993</v>
      </c>
      <c r="AG74" s="3">
        <v>51.36</v>
      </c>
      <c r="AH74" s="3">
        <v>12.6</v>
      </c>
      <c r="AI74" s="3">
        <v>0.16</v>
      </c>
      <c r="AJ74" s="3">
        <v>78.260000000000005</v>
      </c>
      <c r="BB74" s="12"/>
    </row>
    <row r="75" spans="1:54" x14ac:dyDescent="0.35">
      <c r="A75" s="3">
        <v>86</v>
      </c>
      <c r="B75" s="3">
        <v>4</v>
      </c>
      <c r="C75" s="3">
        <v>9</v>
      </c>
      <c r="D75" s="3">
        <v>2</v>
      </c>
      <c r="E75" s="3">
        <v>28</v>
      </c>
      <c r="F75" s="3">
        <v>1652.125</v>
      </c>
      <c r="G75" s="4">
        <f t="shared" si="8"/>
        <v>1.6521250000000001</v>
      </c>
      <c r="H75" s="4">
        <f t="shared" si="14"/>
        <v>52.868000000000002</v>
      </c>
      <c r="I75" s="3">
        <v>32</v>
      </c>
      <c r="J75" s="4">
        <f t="shared" si="9"/>
        <v>0.45500000000000002</v>
      </c>
      <c r="K75" s="5">
        <v>455</v>
      </c>
      <c r="L75" s="6">
        <f t="shared" si="15"/>
        <v>0.45500000000000002</v>
      </c>
      <c r="M75" s="5">
        <v>1</v>
      </c>
      <c r="N75" s="4">
        <f t="shared" si="13"/>
        <v>0</v>
      </c>
      <c r="O75" s="37">
        <v>0</v>
      </c>
      <c r="P75" s="38">
        <f t="shared" si="10"/>
        <v>0</v>
      </c>
      <c r="Q75" s="37">
        <v>0</v>
      </c>
      <c r="R75" s="4">
        <f t="shared" si="11"/>
        <v>0</v>
      </c>
      <c r="S75" s="7">
        <v>0</v>
      </c>
      <c r="T75" s="8">
        <f t="shared" si="12"/>
        <v>0</v>
      </c>
      <c r="U75" s="7">
        <v>0</v>
      </c>
      <c r="V75" s="3">
        <v>25.72</v>
      </c>
      <c r="W75" s="3">
        <v>11.145</v>
      </c>
      <c r="X75" s="3">
        <v>5.6459999999999999</v>
      </c>
      <c r="Y75" s="3">
        <v>2.8109999999999999</v>
      </c>
      <c r="Z75" s="3">
        <v>5.64</v>
      </c>
      <c r="AA75" s="3">
        <v>0.99</v>
      </c>
      <c r="AB75" s="3">
        <v>54.27</v>
      </c>
      <c r="AC75" s="3">
        <v>69.84</v>
      </c>
      <c r="AD75" s="3">
        <v>37.909999999999997</v>
      </c>
      <c r="AE75" s="3">
        <v>56.04</v>
      </c>
      <c r="AF75" s="3">
        <v>75.86</v>
      </c>
      <c r="AG75" s="3">
        <v>36.99</v>
      </c>
      <c r="AH75" s="3">
        <v>13.9</v>
      </c>
      <c r="AI75" s="3">
        <v>0.15</v>
      </c>
      <c r="AJ75" s="3">
        <v>92.46</v>
      </c>
      <c r="BB75" s="12"/>
    </row>
    <row r="76" spans="1:54" x14ac:dyDescent="0.35">
      <c r="A76" s="3">
        <v>87</v>
      </c>
      <c r="B76" s="3">
        <v>7</v>
      </c>
      <c r="C76" s="3">
        <v>9</v>
      </c>
      <c r="D76" s="3">
        <v>1</v>
      </c>
      <c r="E76" s="3">
        <v>63</v>
      </c>
      <c r="F76" s="3">
        <v>1113.52</v>
      </c>
      <c r="G76" s="4">
        <f t="shared" si="8"/>
        <v>1.1135200000000001</v>
      </c>
      <c r="H76" s="4">
        <f t="shared" si="14"/>
        <v>74.605840000000001</v>
      </c>
      <c r="I76" s="3">
        <v>67</v>
      </c>
      <c r="J76" s="4">
        <f t="shared" si="9"/>
        <v>9.5000000000000001E-2</v>
      </c>
      <c r="K76" s="5">
        <v>95</v>
      </c>
      <c r="L76" s="6">
        <f t="shared" si="15"/>
        <v>9.5000000000000001E-2</v>
      </c>
      <c r="M76" s="5">
        <v>1</v>
      </c>
      <c r="N76" s="4">
        <f t="shared" si="13"/>
        <v>2.4649799999999997</v>
      </c>
      <c r="O76" s="37">
        <v>821.66</v>
      </c>
      <c r="P76" s="38">
        <f t="shared" si="10"/>
        <v>0.82165999999999995</v>
      </c>
      <c r="Q76" s="37">
        <v>3</v>
      </c>
      <c r="R76" s="4">
        <f t="shared" si="11"/>
        <v>1.365</v>
      </c>
      <c r="S76" s="7">
        <v>1365</v>
      </c>
      <c r="T76" s="8">
        <f t="shared" si="12"/>
        <v>1.365</v>
      </c>
      <c r="U76" s="7">
        <v>1</v>
      </c>
      <c r="V76" s="3">
        <v>22.8</v>
      </c>
      <c r="W76" s="3">
        <v>11.948</v>
      </c>
      <c r="X76" s="3">
        <v>6.3879999999999999</v>
      </c>
      <c r="Y76" s="3">
        <v>2.7589999999999999</v>
      </c>
      <c r="Z76" s="3">
        <v>4.7699999999999996</v>
      </c>
      <c r="AA76" s="3">
        <v>1.2</v>
      </c>
      <c r="AB76" s="3">
        <v>89.84</v>
      </c>
      <c r="AC76" s="3">
        <v>80.84</v>
      </c>
      <c r="AD76" s="3">
        <v>57.11</v>
      </c>
      <c r="AE76" s="3">
        <v>83.4</v>
      </c>
      <c r="AF76" s="3">
        <v>85.6</v>
      </c>
      <c r="AG76" s="3">
        <v>54.14</v>
      </c>
      <c r="AH76" s="3">
        <v>13</v>
      </c>
      <c r="AI76" s="3">
        <v>0.18</v>
      </c>
      <c r="AJ76" s="3">
        <v>70.53</v>
      </c>
      <c r="BB76" s="12"/>
    </row>
    <row r="77" spans="1:54" x14ac:dyDescent="0.35">
      <c r="A77" s="3">
        <v>88</v>
      </c>
      <c r="B77" s="3">
        <v>1</v>
      </c>
      <c r="C77" s="3">
        <v>10</v>
      </c>
      <c r="D77" s="3">
        <v>5</v>
      </c>
      <c r="E77" s="3">
        <v>10</v>
      </c>
      <c r="F77" s="3">
        <v>1152.8800000000001</v>
      </c>
      <c r="G77" s="4">
        <f t="shared" si="8"/>
        <v>1.1528800000000001</v>
      </c>
      <c r="H77" s="4">
        <f t="shared" si="14"/>
        <v>49.573840000000004</v>
      </c>
      <c r="I77" s="3">
        <v>43</v>
      </c>
      <c r="J77" s="4">
        <f t="shared" si="9"/>
        <v>2.6739999999999995</v>
      </c>
      <c r="K77" s="5">
        <v>534.79999999999995</v>
      </c>
      <c r="L77" s="6">
        <f t="shared" si="15"/>
        <v>0.53479999999999994</v>
      </c>
      <c r="M77" s="5">
        <v>5</v>
      </c>
      <c r="N77" s="4">
        <f t="shared" si="13"/>
        <v>2.593</v>
      </c>
      <c r="O77" s="37">
        <v>1296.5</v>
      </c>
      <c r="P77" s="38">
        <f t="shared" si="10"/>
        <v>1.2965</v>
      </c>
      <c r="Q77" s="37">
        <v>2</v>
      </c>
      <c r="R77" s="4">
        <f t="shared" si="11"/>
        <v>2.3319999999999999</v>
      </c>
      <c r="S77" s="7">
        <v>2332</v>
      </c>
      <c r="T77" s="8">
        <f t="shared" si="12"/>
        <v>2.3319999999999999</v>
      </c>
      <c r="U77" s="7">
        <v>1</v>
      </c>
      <c r="V77" s="3">
        <v>26.94</v>
      </c>
      <c r="W77" s="3">
        <v>8.8249999999999993</v>
      </c>
      <c r="X77" s="3">
        <v>4.0339999999999998</v>
      </c>
      <c r="Y77" s="3">
        <v>2.6560000000000001</v>
      </c>
      <c r="Z77" s="3">
        <v>4.8499999999999996</v>
      </c>
      <c r="AA77" s="3">
        <v>0.9</v>
      </c>
      <c r="AB77" s="3">
        <v>85.86</v>
      </c>
      <c r="AC77" s="3">
        <v>74.69</v>
      </c>
      <c r="AD77" s="3">
        <v>57.17</v>
      </c>
      <c r="AE77" s="3">
        <v>82.83</v>
      </c>
      <c r="AF77" s="3">
        <v>82.2</v>
      </c>
      <c r="AG77" s="3">
        <v>54.48</v>
      </c>
      <c r="AH77" s="3">
        <v>13</v>
      </c>
      <c r="AI77" s="3">
        <v>0.21</v>
      </c>
      <c r="AJ77" s="3">
        <v>60.99</v>
      </c>
      <c r="BB77" s="12"/>
    </row>
    <row r="78" spans="1:54" x14ac:dyDescent="0.35">
      <c r="A78" s="3">
        <v>89</v>
      </c>
      <c r="B78" s="3">
        <v>9</v>
      </c>
      <c r="C78" s="3">
        <v>10</v>
      </c>
      <c r="D78" s="3">
        <v>7</v>
      </c>
      <c r="E78" s="3">
        <v>82</v>
      </c>
      <c r="F78" s="3">
        <v>1046.58</v>
      </c>
      <c r="G78" s="4">
        <f t="shared" si="8"/>
        <v>1.0465799999999998</v>
      </c>
      <c r="H78" s="4">
        <f t="shared" si="14"/>
        <v>65.934539999999984</v>
      </c>
      <c r="I78" s="3">
        <v>63</v>
      </c>
      <c r="J78" s="4">
        <f t="shared" si="9"/>
        <v>1.07199</v>
      </c>
      <c r="K78" s="5">
        <v>357.33</v>
      </c>
      <c r="L78" s="6">
        <f t="shared" si="15"/>
        <v>0.35732999999999998</v>
      </c>
      <c r="M78" s="5">
        <v>3</v>
      </c>
      <c r="N78" s="4">
        <f t="shared" si="13"/>
        <v>3.6109800000000005</v>
      </c>
      <c r="O78" s="37">
        <v>1203.6600000000001</v>
      </c>
      <c r="P78" s="38">
        <f t="shared" si="10"/>
        <v>1.2036600000000002</v>
      </c>
      <c r="Q78" s="37">
        <v>3</v>
      </c>
      <c r="R78" s="4">
        <f t="shared" si="11"/>
        <v>0</v>
      </c>
      <c r="S78" s="7">
        <v>0</v>
      </c>
      <c r="T78" s="8">
        <f t="shared" si="12"/>
        <v>0</v>
      </c>
      <c r="U78" s="7">
        <v>0</v>
      </c>
      <c r="V78" s="3">
        <v>22.16</v>
      </c>
      <c r="W78" s="3">
        <v>13.129</v>
      </c>
      <c r="X78" s="3">
        <v>7.7190000000000003</v>
      </c>
      <c r="Y78" s="3">
        <v>5.5229999999999997</v>
      </c>
      <c r="Z78" s="3">
        <v>8.02</v>
      </c>
      <c r="AA78" s="3">
        <v>1.78</v>
      </c>
      <c r="AB78" s="3">
        <v>84.98</v>
      </c>
      <c r="AC78" s="3">
        <v>76.92</v>
      </c>
      <c r="AD78" s="3">
        <v>54.26</v>
      </c>
      <c r="AE78" s="3">
        <v>80.02</v>
      </c>
      <c r="AF78" s="3">
        <v>81.23</v>
      </c>
      <c r="AG78" s="3">
        <v>51.76</v>
      </c>
      <c r="AH78" s="3">
        <v>12.9</v>
      </c>
      <c r="AI78" s="3">
        <v>0.18</v>
      </c>
      <c r="AJ78" s="3">
        <v>72.400000000000006</v>
      </c>
      <c r="BB78" s="12"/>
    </row>
    <row r="79" spans="1:54" x14ac:dyDescent="0.35">
      <c r="A79" s="3">
        <v>90</v>
      </c>
      <c r="B79" s="3">
        <v>7</v>
      </c>
      <c r="C79" s="3">
        <v>10</v>
      </c>
      <c r="D79" s="3">
        <v>6</v>
      </c>
      <c r="E79" s="3">
        <v>70</v>
      </c>
      <c r="F79" s="3">
        <v>1150.23</v>
      </c>
      <c r="G79" s="4">
        <f t="shared" si="8"/>
        <v>1.1502300000000001</v>
      </c>
      <c r="H79" s="4">
        <f t="shared" si="14"/>
        <v>81.666330000000002</v>
      </c>
      <c r="I79" s="3">
        <v>71</v>
      </c>
      <c r="J79" s="4">
        <f t="shared" si="9"/>
        <v>1.6999799999999998</v>
      </c>
      <c r="K79" s="5">
        <v>566.66</v>
      </c>
      <c r="L79" s="6">
        <f t="shared" si="15"/>
        <v>0.56665999999999994</v>
      </c>
      <c r="M79" s="5">
        <v>3</v>
      </c>
      <c r="N79" s="4">
        <f t="shared" si="13"/>
        <v>11.272</v>
      </c>
      <c r="O79" s="37">
        <v>1127.2</v>
      </c>
      <c r="P79" s="38">
        <f t="shared" si="10"/>
        <v>1.1272</v>
      </c>
      <c r="Q79" s="37">
        <v>10</v>
      </c>
      <c r="R79" s="4">
        <f t="shared" si="11"/>
        <v>2.2349999999999999</v>
      </c>
      <c r="S79" s="7">
        <v>2235</v>
      </c>
      <c r="T79" s="8">
        <f t="shared" si="12"/>
        <v>2.2349999999999999</v>
      </c>
      <c r="U79" s="7">
        <v>1</v>
      </c>
      <c r="V79" s="3">
        <v>22.24</v>
      </c>
      <c r="W79" s="3">
        <v>10.898</v>
      </c>
      <c r="X79" s="3">
        <v>4.7729999999999997</v>
      </c>
      <c r="Y79" s="3">
        <v>2.9820000000000002</v>
      </c>
      <c r="Z79" s="3">
        <v>4.32</v>
      </c>
      <c r="AA79" s="3">
        <v>0.7</v>
      </c>
      <c r="AB79" s="3">
        <v>87.37</v>
      </c>
      <c r="AC79" s="3">
        <v>79.569999999999993</v>
      </c>
      <c r="AD79" s="3">
        <v>55.75</v>
      </c>
      <c r="AE79" s="3">
        <v>77</v>
      </c>
      <c r="AF79" s="3">
        <v>86.54</v>
      </c>
      <c r="AG79" s="3">
        <v>50.51</v>
      </c>
      <c r="AH79" s="3">
        <v>13.1</v>
      </c>
      <c r="AI79" s="3">
        <v>0.19</v>
      </c>
      <c r="AJ79" s="3">
        <v>69.3</v>
      </c>
      <c r="BB79" s="12"/>
    </row>
    <row r="80" spans="1:54" x14ac:dyDescent="0.35">
      <c r="A80" s="3">
        <v>91</v>
      </c>
      <c r="B80" s="3">
        <v>1</v>
      </c>
      <c r="C80" s="3">
        <v>10</v>
      </c>
      <c r="D80" s="3">
        <v>7</v>
      </c>
      <c r="E80" s="3">
        <v>10</v>
      </c>
      <c r="F80" s="3">
        <v>860.7</v>
      </c>
      <c r="G80" s="4">
        <f t="shared" si="8"/>
        <v>0.86070000000000002</v>
      </c>
      <c r="H80" s="4">
        <f t="shared" si="14"/>
        <v>57.666899999999998</v>
      </c>
      <c r="I80" s="3">
        <v>67</v>
      </c>
      <c r="J80" s="4">
        <f t="shared" si="9"/>
        <v>2.4350000000000001</v>
      </c>
      <c r="K80" s="5">
        <v>487</v>
      </c>
      <c r="L80" s="6">
        <f t="shared" si="15"/>
        <v>0.48699999999999999</v>
      </c>
      <c r="M80" s="5">
        <v>5</v>
      </c>
      <c r="N80" s="4">
        <f t="shared" si="13"/>
        <v>0.68100000000000005</v>
      </c>
      <c r="O80" s="37">
        <v>681</v>
      </c>
      <c r="P80" s="38">
        <f t="shared" si="10"/>
        <v>0.68100000000000005</v>
      </c>
      <c r="Q80" s="37">
        <v>1</v>
      </c>
      <c r="R80" s="4">
        <f t="shared" si="11"/>
        <v>2.129</v>
      </c>
      <c r="S80" s="7">
        <v>1064.5</v>
      </c>
      <c r="T80" s="8">
        <f t="shared" si="12"/>
        <v>1.0645</v>
      </c>
      <c r="U80" s="7">
        <v>2</v>
      </c>
      <c r="V80" s="3">
        <v>21.83</v>
      </c>
      <c r="W80" s="3">
        <v>8.0879999999999992</v>
      </c>
      <c r="X80" s="3">
        <v>3.37</v>
      </c>
      <c r="Y80" s="3">
        <v>2.5739999999999998</v>
      </c>
      <c r="Z80" s="3">
        <v>4.03</v>
      </c>
      <c r="AA80" s="3">
        <v>0.85</v>
      </c>
      <c r="AB80" s="3">
        <v>68.989999999999995</v>
      </c>
      <c r="AC80" s="3">
        <v>67.03</v>
      </c>
      <c r="AD80" s="3">
        <v>45.12</v>
      </c>
      <c r="AE80" s="3">
        <v>62.66</v>
      </c>
      <c r="AF80" s="3">
        <v>82.5</v>
      </c>
      <c r="AG80" s="3">
        <v>41.22</v>
      </c>
      <c r="AH80" s="3">
        <v>14.8</v>
      </c>
      <c r="AI80" s="3">
        <v>0.16</v>
      </c>
      <c r="AJ80" s="3">
        <v>91.19</v>
      </c>
      <c r="BB80" s="12"/>
    </row>
    <row r="81" spans="1:54" x14ac:dyDescent="0.35">
      <c r="A81" s="3">
        <v>92</v>
      </c>
      <c r="B81" s="3">
        <v>1</v>
      </c>
      <c r="C81" s="3">
        <v>10</v>
      </c>
      <c r="D81" s="3">
        <v>10</v>
      </c>
      <c r="E81" s="3">
        <v>10</v>
      </c>
      <c r="F81" s="3">
        <v>1204.04</v>
      </c>
      <c r="G81" s="4">
        <f t="shared" si="8"/>
        <v>1.20404</v>
      </c>
      <c r="H81" s="4">
        <f t="shared" si="14"/>
        <v>54.181800000000003</v>
      </c>
      <c r="I81" s="3">
        <v>45</v>
      </c>
      <c r="J81" s="4">
        <f t="shared" si="9"/>
        <v>0.35499999999999998</v>
      </c>
      <c r="K81" s="5">
        <v>355</v>
      </c>
      <c r="L81" s="6">
        <f t="shared" si="15"/>
        <v>0.35499999999999998</v>
      </c>
      <c r="M81" s="5">
        <v>1</v>
      </c>
      <c r="N81" s="4">
        <f t="shared" si="13"/>
        <v>0.59499999999999997</v>
      </c>
      <c r="O81" s="37">
        <v>595</v>
      </c>
      <c r="P81" s="38">
        <f t="shared" si="10"/>
        <v>0.59499999999999997</v>
      </c>
      <c r="Q81" s="37">
        <v>1</v>
      </c>
      <c r="R81" s="4">
        <f t="shared" si="11"/>
        <v>5.4989999999999997</v>
      </c>
      <c r="S81" s="7">
        <v>1833</v>
      </c>
      <c r="T81" s="8">
        <f t="shared" si="12"/>
        <v>1.833</v>
      </c>
      <c r="U81" s="7">
        <v>3</v>
      </c>
      <c r="V81" s="3">
        <v>19.13</v>
      </c>
      <c r="W81" s="3">
        <v>8.9930000000000003</v>
      </c>
      <c r="X81" s="3">
        <v>4.1459999999999999</v>
      </c>
      <c r="Y81" s="3">
        <v>2.6549999999999998</v>
      </c>
      <c r="Z81" s="3">
        <v>7.07</v>
      </c>
      <c r="AA81" s="3">
        <v>1.31</v>
      </c>
      <c r="AB81" s="3">
        <v>70.86</v>
      </c>
      <c r="AC81" s="3">
        <v>74.25</v>
      </c>
      <c r="AD81" s="3">
        <v>46.33</v>
      </c>
      <c r="AE81" s="3">
        <v>61.21</v>
      </c>
      <c r="AF81" s="3">
        <v>81.900000000000006</v>
      </c>
      <c r="AG81" s="3">
        <v>39.799999999999997</v>
      </c>
      <c r="AH81" s="3">
        <v>14.7</v>
      </c>
      <c r="AI81" s="3">
        <v>0.16</v>
      </c>
      <c r="AJ81" s="3">
        <v>89.88</v>
      </c>
      <c r="BB81" s="12"/>
    </row>
    <row r="82" spans="1:54" x14ac:dyDescent="0.35">
      <c r="A82" s="3">
        <v>93</v>
      </c>
      <c r="B82" s="3">
        <v>5</v>
      </c>
      <c r="C82" s="3">
        <v>10</v>
      </c>
      <c r="D82" s="3">
        <v>2</v>
      </c>
      <c r="E82" s="3">
        <v>51</v>
      </c>
      <c r="F82" s="3">
        <v>1204.7</v>
      </c>
      <c r="G82" s="4">
        <f t="shared" si="8"/>
        <v>1.2047000000000001</v>
      </c>
      <c r="H82" s="4">
        <f t="shared" si="14"/>
        <v>60.235000000000007</v>
      </c>
      <c r="I82" s="3">
        <v>50</v>
      </c>
      <c r="J82" s="4">
        <f t="shared" si="9"/>
        <v>0.40600000000000003</v>
      </c>
      <c r="K82" s="5">
        <v>203</v>
      </c>
      <c r="L82" s="6">
        <f t="shared" si="15"/>
        <v>0.20300000000000001</v>
      </c>
      <c r="M82" s="5">
        <v>2</v>
      </c>
      <c r="N82" s="4">
        <f t="shared" si="13"/>
        <v>2.512</v>
      </c>
      <c r="O82" s="37">
        <v>1256</v>
      </c>
      <c r="P82" s="38">
        <f t="shared" si="10"/>
        <v>1.256</v>
      </c>
      <c r="Q82" s="37">
        <v>2</v>
      </c>
      <c r="R82" s="4">
        <f t="shared" si="11"/>
        <v>6.4550000000000001</v>
      </c>
      <c r="S82" s="7">
        <v>1291</v>
      </c>
      <c r="T82" s="8">
        <f t="shared" si="12"/>
        <v>1.2909999999999999</v>
      </c>
      <c r="U82" s="7">
        <v>5</v>
      </c>
      <c r="V82" s="3">
        <v>23.64</v>
      </c>
      <c r="W82" s="3">
        <v>11.06</v>
      </c>
      <c r="X82" s="3">
        <v>5.7350000000000003</v>
      </c>
      <c r="Y82" s="3">
        <v>2.923</v>
      </c>
      <c r="Z82" s="3">
        <v>4.0199999999999996</v>
      </c>
      <c r="AA82" s="3">
        <v>1.49</v>
      </c>
      <c r="AB82" s="3">
        <v>92.48</v>
      </c>
      <c r="AC82" s="3">
        <v>82.39</v>
      </c>
      <c r="AD82" s="3">
        <v>58.82</v>
      </c>
      <c r="AE82" s="3">
        <v>83.57</v>
      </c>
      <c r="AF82" s="3">
        <v>77.72</v>
      </c>
      <c r="AG82" s="3">
        <v>54.11</v>
      </c>
      <c r="AH82" s="3">
        <v>11.2</v>
      </c>
      <c r="AI82" s="3">
        <v>0.17</v>
      </c>
      <c r="AJ82" s="3">
        <v>65.48</v>
      </c>
      <c r="BB82" s="12"/>
    </row>
    <row r="83" spans="1:54" x14ac:dyDescent="0.35">
      <c r="A83" s="3">
        <v>94</v>
      </c>
      <c r="B83" s="3">
        <v>1</v>
      </c>
      <c r="C83" s="3">
        <v>10</v>
      </c>
      <c r="D83" s="3">
        <v>1</v>
      </c>
      <c r="E83" s="3">
        <v>10</v>
      </c>
      <c r="F83" s="3">
        <v>1200.93</v>
      </c>
      <c r="G83" s="4">
        <f t="shared" si="8"/>
        <v>1.2009300000000001</v>
      </c>
      <c r="H83" s="4">
        <f t="shared" si="14"/>
        <v>56.443710000000003</v>
      </c>
      <c r="I83" s="3">
        <v>47</v>
      </c>
      <c r="J83" s="4">
        <f t="shared" si="9"/>
        <v>5.5259999999999998</v>
      </c>
      <c r="K83" s="5">
        <v>552.6</v>
      </c>
      <c r="L83" s="6">
        <f t="shared" si="15"/>
        <v>0.55259999999999998</v>
      </c>
      <c r="M83" s="5">
        <v>10</v>
      </c>
      <c r="N83" s="4">
        <f t="shared" si="13"/>
        <v>7.2789599999999997</v>
      </c>
      <c r="O83" s="37">
        <v>1213.1600000000001</v>
      </c>
      <c r="P83" s="38">
        <f t="shared" si="10"/>
        <v>1.21316</v>
      </c>
      <c r="Q83" s="37">
        <v>6</v>
      </c>
      <c r="R83" s="4">
        <f t="shared" si="11"/>
        <v>4.3170000000000002</v>
      </c>
      <c r="S83" s="7">
        <v>2158.5</v>
      </c>
      <c r="T83" s="8">
        <f t="shared" si="12"/>
        <v>2.1585000000000001</v>
      </c>
      <c r="U83" s="7">
        <v>2</v>
      </c>
      <c r="V83" s="3">
        <v>24.24</v>
      </c>
      <c r="W83" s="3">
        <v>8.9710000000000001</v>
      </c>
      <c r="X83" s="3">
        <v>4.0659999999999998</v>
      </c>
      <c r="Y83" s="3">
        <v>2.5019999999999998</v>
      </c>
      <c r="Z83" s="3">
        <v>5.04</v>
      </c>
      <c r="AA83" s="3">
        <v>1.1200000000000001</v>
      </c>
      <c r="AB83" s="3">
        <v>73.83</v>
      </c>
      <c r="AC83" s="3">
        <v>82.34</v>
      </c>
      <c r="AD83" s="3">
        <v>48.09</v>
      </c>
      <c r="AE83" s="3">
        <v>68.11</v>
      </c>
      <c r="AF83" s="3">
        <v>91.8</v>
      </c>
      <c r="AG83" s="3">
        <v>44.3</v>
      </c>
      <c r="AH83" s="3">
        <v>15.3</v>
      </c>
      <c r="AI83" s="3">
        <v>0.18</v>
      </c>
      <c r="AJ83" s="3">
        <v>86.09</v>
      </c>
      <c r="BB83" s="12"/>
    </row>
    <row r="84" spans="1:54" x14ac:dyDescent="0.35">
      <c r="A84" s="3">
        <v>95</v>
      </c>
      <c r="B84" s="3">
        <v>1</v>
      </c>
      <c r="C84" s="3">
        <v>10</v>
      </c>
      <c r="D84" s="3">
        <v>2</v>
      </c>
      <c r="E84" s="3">
        <v>10</v>
      </c>
      <c r="F84" s="3">
        <v>1137.54</v>
      </c>
      <c r="G84" s="4">
        <f t="shared" si="8"/>
        <v>1.13754</v>
      </c>
      <c r="H84" s="4">
        <f t="shared" si="14"/>
        <v>42.088979999999999</v>
      </c>
      <c r="I84" s="3">
        <v>37</v>
      </c>
      <c r="J84" s="4">
        <f t="shared" si="9"/>
        <v>0</v>
      </c>
      <c r="K84" s="5">
        <v>0</v>
      </c>
      <c r="L84" s="6">
        <f t="shared" si="15"/>
        <v>0</v>
      </c>
      <c r="M84" s="5">
        <v>0</v>
      </c>
      <c r="N84" s="4">
        <f t="shared" si="13"/>
        <v>5.5229999999999988</v>
      </c>
      <c r="O84" s="37">
        <v>1104.5999999999999</v>
      </c>
      <c r="P84" s="38">
        <f t="shared" si="10"/>
        <v>1.1045999999999998</v>
      </c>
      <c r="Q84" s="37">
        <v>5</v>
      </c>
      <c r="R84" s="4">
        <f t="shared" si="11"/>
        <v>7.0019999999999998</v>
      </c>
      <c r="S84" s="7">
        <v>1750.5</v>
      </c>
      <c r="T84" s="8">
        <f t="shared" si="12"/>
        <v>1.7504999999999999</v>
      </c>
      <c r="U84" s="7">
        <v>4</v>
      </c>
      <c r="V84" s="3">
        <v>21.2</v>
      </c>
      <c r="W84" s="3">
        <v>9.6560000000000006</v>
      </c>
      <c r="X84" s="3">
        <v>4.7110000000000003</v>
      </c>
      <c r="Y84" s="3">
        <v>2.5329999999999999</v>
      </c>
      <c r="Z84" s="3">
        <v>3.75</v>
      </c>
      <c r="AA84" s="3">
        <v>1.06</v>
      </c>
      <c r="AB84" s="3">
        <v>83.82</v>
      </c>
      <c r="AC84" s="3">
        <v>77.75</v>
      </c>
      <c r="AD84" s="3">
        <v>60.57</v>
      </c>
      <c r="AE84" s="3">
        <v>74.72</v>
      </c>
      <c r="AF84" s="3">
        <v>82.95</v>
      </c>
      <c r="AG84" s="3">
        <v>48.78</v>
      </c>
      <c r="AH84" s="3">
        <v>13.9</v>
      </c>
      <c r="AI84" s="3">
        <v>0.17</v>
      </c>
      <c r="AJ84" s="3">
        <v>81.44</v>
      </c>
      <c r="BB84" s="12"/>
    </row>
    <row r="85" spans="1:54" x14ac:dyDescent="0.35">
      <c r="A85" s="3">
        <v>96</v>
      </c>
      <c r="B85" s="3">
        <v>3</v>
      </c>
      <c r="C85" s="3">
        <v>10</v>
      </c>
      <c r="D85" s="3">
        <v>7</v>
      </c>
      <c r="E85" s="3">
        <v>36</v>
      </c>
      <c r="F85" s="3">
        <v>961.6</v>
      </c>
      <c r="G85" s="4">
        <f t="shared" si="8"/>
        <v>0.96160000000000001</v>
      </c>
      <c r="H85" s="4">
        <f t="shared" si="14"/>
        <v>75.966400000000007</v>
      </c>
      <c r="I85" s="3">
        <v>79</v>
      </c>
      <c r="J85" s="4">
        <f t="shared" si="9"/>
        <v>0.43</v>
      </c>
      <c r="K85" s="5">
        <v>215</v>
      </c>
      <c r="L85" s="6">
        <f t="shared" si="15"/>
        <v>0.215</v>
      </c>
      <c r="M85" s="5">
        <v>2</v>
      </c>
      <c r="N85" s="4">
        <f t="shared" si="13"/>
        <v>6.3349799999999989</v>
      </c>
      <c r="O85" s="37">
        <v>1055.83</v>
      </c>
      <c r="P85" s="38">
        <f t="shared" si="10"/>
        <v>1.0558299999999998</v>
      </c>
      <c r="Q85" s="37">
        <v>6</v>
      </c>
      <c r="R85" s="4">
        <f t="shared" si="11"/>
        <v>12.356999999999999</v>
      </c>
      <c r="S85" s="7">
        <v>1373</v>
      </c>
      <c r="T85" s="8">
        <f t="shared" si="12"/>
        <v>1.373</v>
      </c>
      <c r="U85" s="7">
        <v>9</v>
      </c>
      <c r="V85" s="3">
        <v>21.9</v>
      </c>
      <c r="W85" s="3">
        <v>9.7710000000000008</v>
      </c>
      <c r="X85" s="3">
        <v>4.2530000000000001</v>
      </c>
      <c r="Y85" s="3">
        <v>2.6850000000000001</v>
      </c>
      <c r="Z85" s="3">
        <v>3.85</v>
      </c>
      <c r="AA85" s="3">
        <v>1.06</v>
      </c>
      <c r="AB85" s="3">
        <v>82.75</v>
      </c>
      <c r="AC85" s="3">
        <v>77.22</v>
      </c>
      <c r="AD85" s="3">
        <v>54</v>
      </c>
      <c r="AE85" s="3">
        <v>83.67</v>
      </c>
      <c r="AF85" s="3">
        <v>80.150000000000006</v>
      </c>
      <c r="AG85" s="3">
        <v>54.65</v>
      </c>
      <c r="AH85" s="3">
        <v>12</v>
      </c>
      <c r="AI85" s="3">
        <v>0.17</v>
      </c>
      <c r="AJ85" s="3">
        <v>68.569999999999993</v>
      </c>
      <c r="BB85" s="12"/>
    </row>
    <row r="86" spans="1:54" x14ac:dyDescent="0.35">
      <c r="A86" s="3">
        <v>97</v>
      </c>
      <c r="B86" s="3">
        <v>10</v>
      </c>
      <c r="C86" s="3">
        <v>10</v>
      </c>
      <c r="D86" s="3">
        <v>7</v>
      </c>
      <c r="E86" s="3">
        <v>88</v>
      </c>
      <c r="F86" s="3">
        <v>853.16</v>
      </c>
      <c r="G86" s="4">
        <f t="shared" si="8"/>
        <v>0.85315999999999992</v>
      </c>
      <c r="H86" s="4">
        <f t="shared" si="14"/>
        <v>116.02975999999998</v>
      </c>
      <c r="I86" s="3">
        <v>136</v>
      </c>
      <c r="J86" s="4">
        <f t="shared" si="9"/>
        <v>1.1659999999999999</v>
      </c>
      <c r="K86" s="5">
        <v>291.5</v>
      </c>
      <c r="L86" s="6">
        <f t="shared" si="15"/>
        <v>0.29149999999999998</v>
      </c>
      <c r="M86" s="5">
        <v>4</v>
      </c>
      <c r="N86" s="4">
        <f t="shared" si="13"/>
        <v>4.8380000000000001</v>
      </c>
      <c r="O86" s="37">
        <v>967.6</v>
      </c>
      <c r="P86" s="38">
        <f t="shared" si="10"/>
        <v>0.96760000000000002</v>
      </c>
      <c r="Q86" s="37">
        <v>5</v>
      </c>
      <c r="R86" s="4">
        <f t="shared" si="11"/>
        <v>0.49399999999999999</v>
      </c>
      <c r="S86" s="7">
        <v>494</v>
      </c>
      <c r="T86" s="8">
        <f t="shared" si="12"/>
        <v>0.49399999999999999</v>
      </c>
      <c r="U86" s="7">
        <v>1</v>
      </c>
      <c r="V86" s="3">
        <v>18.399999999999999</v>
      </c>
      <c r="W86" s="3">
        <v>8.9220000000000006</v>
      </c>
      <c r="X86" s="3">
        <v>3.782</v>
      </c>
      <c r="Y86" s="3">
        <v>2.6080000000000001</v>
      </c>
      <c r="Z86" s="3">
        <v>4.38</v>
      </c>
      <c r="AA86" s="3">
        <v>6.74</v>
      </c>
      <c r="AB86" s="3">
        <v>74.16</v>
      </c>
      <c r="AC86" s="3">
        <v>80.63</v>
      </c>
      <c r="AD86" s="3">
        <v>47.87</v>
      </c>
      <c r="AE86" s="3">
        <v>70.099999999999994</v>
      </c>
      <c r="AF86" s="3">
        <v>91.1</v>
      </c>
      <c r="AG86" s="3">
        <v>45.87</v>
      </c>
      <c r="AH86" s="3">
        <v>12.82</v>
      </c>
      <c r="AI86" s="3">
        <v>0.17</v>
      </c>
      <c r="AJ86" s="3">
        <v>75.41</v>
      </c>
      <c r="BB86" s="12"/>
    </row>
    <row r="87" spans="1:54" x14ac:dyDescent="0.35">
      <c r="A87" s="3">
        <v>98</v>
      </c>
      <c r="B87" s="3">
        <v>5</v>
      </c>
      <c r="C87" s="3">
        <v>10</v>
      </c>
      <c r="D87" s="3">
        <v>8</v>
      </c>
      <c r="E87" s="3">
        <v>51</v>
      </c>
      <c r="F87" s="3">
        <v>1048.98</v>
      </c>
      <c r="G87" s="4">
        <f t="shared" si="8"/>
        <v>1.04898</v>
      </c>
      <c r="H87" s="4">
        <f t="shared" si="14"/>
        <v>62.938800000000001</v>
      </c>
      <c r="I87" s="3">
        <v>60</v>
      </c>
      <c r="J87" s="4">
        <f t="shared" si="9"/>
        <v>0.78500000000000003</v>
      </c>
      <c r="K87" s="5">
        <v>392.5</v>
      </c>
      <c r="L87" s="6">
        <f t="shared" si="15"/>
        <v>0.39250000000000002</v>
      </c>
      <c r="M87" s="5">
        <v>2</v>
      </c>
      <c r="N87" s="4">
        <f t="shared" si="13"/>
        <v>5</v>
      </c>
      <c r="O87" s="37">
        <v>1000</v>
      </c>
      <c r="P87" s="38">
        <f t="shared" si="10"/>
        <v>1</v>
      </c>
      <c r="Q87" s="37">
        <v>5</v>
      </c>
      <c r="R87" s="4">
        <f t="shared" si="11"/>
        <v>0</v>
      </c>
      <c r="S87" s="7">
        <v>0</v>
      </c>
      <c r="T87" s="8">
        <f t="shared" si="12"/>
        <v>0</v>
      </c>
      <c r="U87" s="7">
        <v>0</v>
      </c>
      <c r="V87" s="3">
        <v>21</v>
      </c>
      <c r="W87" s="3">
        <v>8.6</v>
      </c>
      <c r="X87" s="3">
        <v>3.7629999999999999</v>
      </c>
      <c r="Y87" s="3">
        <v>2.5640000000000001</v>
      </c>
      <c r="Z87" s="3">
        <v>4.2</v>
      </c>
      <c r="AA87" s="3">
        <v>1.4</v>
      </c>
      <c r="AB87" s="3">
        <v>78.78</v>
      </c>
      <c r="AC87" s="3">
        <v>76.59</v>
      </c>
      <c r="AD87" s="3">
        <v>51.19</v>
      </c>
      <c r="AE87" s="3">
        <v>78.45</v>
      </c>
      <c r="AF87" s="3">
        <v>82.95</v>
      </c>
      <c r="AG87" s="3">
        <v>50.86</v>
      </c>
      <c r="AH87" s="3">
        <v>13.7</v>
      </c>
      <c r="AI87" s="3">
        <v>0.17</v>
      </c>
      <c r="AJ87" s="3">
        <v>80.58</v>
      </c>
      <c r="BB87" s="12"/>
    </row>
    <row r="88" spans="1:54" x14ac:dyDescent="0.35">
      <c r="A88" s="3">
        <v>99</v>
      </c>
      <c r="B88" s="3">
        <v>3</v>
      </c>
      <c r="C88" s="3">
        <v>10</v>
      </c>
      <c r="D88" s="3">
        <v>5</v>
      </c>
      <c r="E88" s="3">
        <v>36</v>
      </c>
      <c r="F88" s="3">
        <v>1590.67</v>
      </c>
      <c r="G88" s="4">
        <f t="shared" si="8"/>
        <v>1.59067</v>
      </c>
      <c r="H88" s="4">
        <f t="shared" si="14"/>
        <v>87.486850000000004</v>
      </c>
      <c r="I88" s="3">
        <v>55</v>
      </c>
      <c r="J88" s="4">
        <f t="shared" si="9"/>
        <v>0.83499999999999996</v>
      </c>
      <c r="K88" s="5">
        <v>835</v>
      </c>
      <c r="L88" s="6">
        <f t="shared" si="15"/>
        <v>0.83499999999999996</v>
      </c>
      <c r="M88" s="5">
        <v>1</v>
      </c>
      <c r="N88" s="4">
        <f t="shared" si="13"/>
        <v>0</v>
      </c>
      <c r="O88" s="37">
        <v>0</v>
      </c>
      <c r="P88" s="38">
        <f t="shared" si="10"/>
        <v>0</v>
      </c>
      <c r="Q88" s="37">
        <v>0</v>
      </c>
      <c r="R88" s="4">
        <f t="shared" si="11"/>
        <v>6.7539999999999996</v>
      </c>
      <c r="S88" s="7">
        <v>1688.5</v>
      </c>
      <c r="T88" s="8">
        <f t="shared" si="12"/>
        <v>1.6884999999999999</v>
      </c>
      <c r="U88" s="7">
        <v>4</v>
      </c>
      <c r="V88" s="3">
        <v>21.85</v>
      </c>
      <c r="W88" s="3">
        <v>10.183999999999999</v>
      </c>
      <c r="X88" s="3">
        <v>4.7140000000000004</v>
      </c>
      <c r="Y88" s="3">
        <v>2.8639999999999999</v>
      </c>
      <c r="Z88" s="3">
        <v>3.1</v>
      </c>
      <c r="AA88" s="3">
        <v>0.86</v>
      </c>
      <c r="AB88" s="3">
        <v>82.08</v>
      </c>
      <c r="AC88" s="3">
        <v>77.680000000000007</v>
      </c>
      <c r="AD88" s="3">
        <v>53.3</v>
      </c>
      <c r="AE88" s="3">
        <v>82.47</v>
      </c>
      <c r="AF88" s="3">
        <v>82.63</v>
      </c>
      <c r="AG88" s="3">
        <v>53.66</v>
      </c>
      <c r="AH88" s="3">
        <v>12.2</v>
      </c>
      <c r="AI88" s="3">
        <v>0.18</v>
      </c>
      <c r="AJ88" s="3">
        <v>67.66</v>
      </c>
      <c r="BB88" s="12"/>
    </row>
    <row r="89" spans="1:54" x14ac:dyDescent="0.35">
      <c r="A89" s="3">
        <v>100</v>
      </c>
      <c r="B89" s="3">
        <v>4</v>
      </c>
      <c r="C89" s="3">
        <v>10</v>
      </c>
      <c r="D89" s="3">
        <v>2</v>
      </c>
      <c r="E89" s="3">
        <v>42</v>
      </c>
      <c r="F89" s="3">
        <v>991.27499999999998</v>
      </c>
      <c r="G89" s="4">
        <f t="shared" si="8"/>
        <v>0.99127500000000002</v>
      </c>
      <c r="H89" s="4">
        <f t="shared" si="14"/>
        <v>79.302000000000007</v>
      </c>
      <c r="I89" s="3">
        <v>80</v>
      </c>
      <c r="J89" s="4">
        <f t="shared" si="9"/>
        <v>6.11</v>
      </c>
      <c r="K89" s="5">
        <v>763.75</v>
      </c>
      <c r="L89" s="6">
        <f t="shared" si="15"/>
        <v>0.76375000000000004</v>
      </c>
      <c r="M89" s="5">
        <v>8</v>
      </c>
      <c r="N89" s="4">
        <f t="shared" si="13"/>
        <v>3.6399900000000001</v>
      </c>
      <c r="O89" s="37">
        <v>1213.33</v>
      </c>
      <c r="P89" s="38">
        <f t="shared" si="10"/>
        <v>1.21333</v>
      </c>
      <c r="Q89" s="37">
        <v>3</v>
      </c>
      <c r="R89" s="4">
        <f t="shared" si="11"/>
        <v>1.8959999999999999</v>
      </c>
      <c r="S89" s="7">
        <v>948</v>
      </c>
      <c r="T89" s="8">
        <f t="shared" si="12"/>
        <v>0.94799999999999995</v>
      </c>
      <c r="U89" s="7">
        <v>2</v>
      </c>
      <c r="V89" s="3">
        <v>25.36</v>
      </c>
      <c r="W89" s="3">
        <v>10.513</v>
      </c>
      <c r="X89" s="3">
        <v>4.6479999999999997</v>
      </c>
      <c r="Y89" s="3">
        <v>2.871</v>
      </c>
      <c r="Z89" s="3">
        <v>2.75</v>
      </c>
      <c r="AA89" s="3">
        <v>0.54</v>
      </c>
      <c r="AB89" s="3">
        <v>78.989999999999995</v>
      </c>
      <c r="AC89" s="3">
        <v>82.81</v>
      </c>
      <c r="AD89" s="3">
        <v>51.55</v>
      </c>
      <c r="AE89" s="3">
        <v>82.13</v>
      </c>
      <c r="AF89" s="3">
        <v>90.35</v>
      </c>
      <c r="AG89" s="3">
        <v>53.86</v>
      </c>
      <c r="AH89" s="3">
        <v>14.3</v>
      </c>
      <c r="AI89" s="3">
        <v>0.18</v>
      </c>
      <c r="AJ89" s="3">
        <v>78.7</v>
      </c>
      <c r="BB89" s="12"/>
    </row>
    <row r="90" spans="1:54" x14ac:dyDescent="0.35">
      <c r="A90" s="3">
        <v>101</v>
      </c>
      <c r="B90" s="3">
        <v>7</v>
      </c>
      <c r="C90" s="3">
        <v>10</v>
      </c>
      <c r="D90" s="3">
        <v>2</v>
      </c>
      <c r="E90" s="3">
        <v>70</v>
      </c>
      <c r="F90" s="3">
        <v>743.24</v>
      </c>
      <c r="G90" s="4">
        <f t="shared" si="8"/>
        <v>0.74324000000000001</v>
      </c>
      <c r="H90" s="4">
        <f t="shared" si="14"/>
        <v>83.98612</v>
      </c>
      <c r="I90" s="3">
        <v>113</v>
      </c>
      <c r="J90" s="4">
        <f t="shared" si="9"/>
        <v>2.6649599999999998</v>
      </c>
      <c r="K90" s="5">
        <v>444.16</v>
      </c>
      <c r="L90" s="6">
        <f t="shared" si="15"/>
        <v>0.44416</v>
      </c>
      <c r="M90" s="5">
        <v>6</v>
      </c>
      <c r="N90" s="4">
        <f t="shared" si="13"/>
        <v>2.875</v>
      </c>
      <c r="O90" s="37">
        <v>718.75</v>
      </c>
      <c r="P90" s="38">
        <f t="shared" si="10"/>
        <v>0.71875</v>
      </c>
      <c r="Q90" s="37">
        <v>4</v>
      </c>
      <c r="R90" s="4">
        <f t="shared" si="11"/>
        <v>0</v>
      </c>
      <c r="S90" s="7">
        <v>0</v>
      </c>
      <c r="T90" s="8">
        <f t="shared" si="12"/>
        <v>0</v>
      </c>
      <c r="U90" s="7">
        <v>0</v>
      </c>
      <c r="V90" s="3">
        <v>27.04</v>
      </c>
      <c r="W90" s="3">
        <v>9.8610000000000007</v>
      </c>
      <c r="X90" s="3">
        <v>4.4080000000000004</v>
      </c>
      <c r="Y90" s="3">
        <v>2.7360000000000002</v>
      </c>
      <c r="Z90" s="3">
        <v>2.88</v>
      </c>
      <c r="AA90" s="3">
        <v>0.97</v>
      </c>
      <c r="AB90" s="3">
        <v>83.42</v>
      </c>
      <c r="AC90" s="3">
        <v>77.55</v>
      </c>
      <c r="AD90" s="3">
        <v>54.44</v>
      </c>
      <c r="AE90" s="3">
        <v>79.819999999999993</v>
      </c>
      <c r="AF90" s="3">
        <v>84.15</v>
      </c>
      <c r="AG90" s="3">
        <v>52.28</v>
      </c>
      <c r="AH90" s="3">
        <v>13</v>
      </c>
      <c r="AI90" s="3">
        <v>0.19</v>
      </c>
      <c r="AJ90" s="3">
        <v>69.62</v>
      </c>
      <c r="BB90" s="12"/>
    </row>
    <row r="91" spans="1:54" x14ac:dyDescent="0.35">
      <c r="A91" s="3">
        <v>102</v>
      </c>
      <c r="B91" s="3">
        <v>6</v>
      </c>
      <c r="C91" s="3">
        <v>10</v>
      </c>
      <c r="D91" s="3">
        <v>3</v>
      </c>
      <c r="E91" s="3">
        <v>62</v>
      </c>
      <c r="F91" s="3">
        <v>1248.51</v>
      </c>
      <c r="G91" s="4">
        <f t="shared" si="8"/>
        <v>1.24851</v>
      </c>
      <c r="H91" s="4">
        <f t="shared" si="14"/>
        <v>64.922520000000006</v>
      </c>
      <c r="I91" s="3">
        <v>52</v>
      </c>
      <c r="J91" s="4">
        <f t="shared" si="9"/>
        <v>0</v>
      </c>
      <c r="K91" s="5">
        <v>0</v>
      </c>
      <c r="L91" s="6">
        <f t="shared" si="15"/>
        <v>0</v>
      </c>
      <c r="M91" s="5">
        <v>0</v>
      </c>
      <c r="N91" s="4">
        <f t="shared" si="13"/>
        <v>5.99</v>
      </c>
      <c r="O91" s="37">
        <v>1198</v>
      </c>
      <c r="P91" s="38">
        <f t="shared" si="10"/>
        <v>1.198</v>
      </c>
      <c r="Q91" s="37">
        <v>5</v>
      </c>
      <c r="R91" s="4">
        <f t="shared" si="11"/>
        <v>4.0579999999999998</v>
      </c>
      <c r="S91" s="7">
        <v>2029</v>
      </c>
      <c r="T91" s="8">
        <f t="shared" si="12"/>
        <v>2.0289999999999999</v>
      </c>
      <c r="U91" s="7">
        <v>2</v>
      </c>
      <c r="V91" s="3">
        <v>25.26</v>
      </c>
      <c r="W91" s="3">
        <v>10.039</v>
      </c>
      <c r="X91" s="3">
        <v>4.875</v>
      </c>
      <c r="Y91" s="3">
        <v>2.6339999999999999</v>
      </c>
      <c r="Z91" s="3">
        <v>4.71</v>
      </c>
      <c r="AA91" s="3">
        <v>1.07</v>
      </c>
      <c r="AB91" s="3">
        <v>75.819999999999993</v>
      </c>
      <c r="AC91" s="3">
        <v>82.71</v>
      </c>
      <c r="AD91" s="3">
        <v>50.74</v>
      </c>
      <c r="AE91" s="3">
        <v>75.239999999999995</v>
      </c>
      <c r="AF91" s="3">
        <v>87.53</v>
      </c>
      <c r="AG91" s="3">
        <v>49.21</v>
      </c>
      <c r="AH91" s="3">
        <v>13.6</v>
      </c>
      <c r="AI91" s="3">
        <v>0.18</v>
      </c>
      <c r="AJ91" s="3">
        <v>75.900000000000006</v>
      </c>
      <c r="BB91" s="12"/>
    </row>
    <row r="92" spans="1:54" x14ac:dyDescent="0.35">
      <c r="A92" s="3">
        <v>103</v>
      </c>
      <c r="B92" s="3">
        <v>1</v>
      </c>
      <c r="C92" s="3">
        <v>2</v>
      </c>
      <c r="D92" s="3">
        <v>9</v>
      </c>
      <c r="E92" s="3">
        <v>2</v>
      </c>
      <c r="F92" s="3">
        <v>1244.44</v>
      </c>
      <c r="G92" s="4">
        <f t="shared" si="8"/>
        <v>1.24444</v>
      </c>
      <c r="H92" s="4">
        <f t="shared" si="14"/>
        <v>33.599879999999999</v>
      </c>
      <c r="I92" s="3">
        <v>27</v>
      </c>
      <c r="J92" s="4">
        <f t="shared" si="9"/>
        <v>1.5549999999999999</v>
      </c>
      <c r="K92" s="5">
        <v>1555</v>
      </c>
      <c r="L92" s="6">
        <f t="shared" si="15"/>
        <v>1.5549999999999999</v>
      </c>
      <c r="M92" s="5">
        <v>1</v>
      </c>
      <c r="N92" s="4">
        <f t="shared" si="13"/>
        <v>2.72898</v>
      </c>
      <c r="O92" s="37">
        <v>909.66</v>
      </c>
      <c r="P92" s="38">
        <f t="shared" si="10"/>
        <v>0.90965999999999991</v>
      </c>
      <c r="Q92" s="37">
        <v>3</v>
      </c>
      <c r="R92" s="4">
        <f t="shared" si="11"/>
        <v>0</v>
      </c>
      <c r="S92" s="7">
        <v>0</v>
      </c>
      <c r="T92" s="8">
        <f t="shared" si="12"/>
        <v>0</v>
      </c>
      <c r="U92" s="7">
        <v>0</v>
      </c>
      <c r="V92" s="13">
        <v>23.48</v>
      </c>
      <c r="W92" s="10">
        <v>9.3569999999999993</v>
      </c>
      <c r="X92" s="10">
        <v>4.2539999999999996</v>
      </c>
      <c r="Y92" s="10">
        <v>3.7840000000000003</v>
      </c>
      <c r="Z92" s="10">
        <v>5.98</v>
      </c>
      <c r="AA92" s="10">
        <v>1.18</v>
      </c>
      <c r="AB92" s="10">
        <v>54.74</v>
      </c>
      <c r="AC92" s="10">
        <v>64.790000000000006</v>
      </c>
      <c r="AD92" s="10">
        <v>36.4</v>
      </c>
      <c r="AE92" s="10">
        <v>52.98</v>
      </c>
      <c r="AF92" s="10">
        <v>68.66</v>
      </c>
      <c r="AG92" s="10">
        <v>35.44</v>
      </c>
      <c r="AH92" s="10">
        <v>15</v>
      </c>
      <c r="AI92" s="10">
        <v>0.14000000000000001</v>
      </c>
      <c r="AJ92" s="10">
        <v>107.7</v>
      </c>
      <c r="BB92" s="12"/>
    </row>
    <row r="93" spans="1:54" x14ac:dyDescent="0.35">
      <c r="A93" s="3">
        <v>104</v>
      </c>
      <c r="B93" s="3">
        <v>7</v>
      </c>
      <c r="C93" s="3">
        <v>2</v>
      </c>
      <c r="D93" s="3">
        <v>7</v>
      </c>
      <c r="E93" s="3">
        <v>64</v>
      </c>
      <c r="F93" s="3">
        <v>1296.57</v>
      </c>
      <c r="G93" s="4">
        <f t="shared" si="8"/>
        <v>1.29657</v>
      </c>
      <c r="H93" s="4">
        <f t="shared" si="14"/>
        <v>73.904489999999996</v>
      </c>
      <c r="I93" s="3">
        <v>57</v>
      </c>
      <c r="J93" s="4">
        <f t="shared" si="9"/>
        <v>0.6</v>
      </c>
      <c r="K93" s="5">
        <v>300</v>
      </c>
      <c r="L93" s="6">
        <f t="shared" si="15"/>
        <v>0.3</v>
      </c>
      <c r="M93" s="5">
        <v>2</v>
      </c>
      <c r="N93" s="4">
        <f t="shared" si="13"/>
        <v>0</v>
      </c>
      <c r="O93" s="37">
        <v>0</v>
      </c>
      <c r="P93" s="38">
        <f t="shared" si="10"/>
        <v>0</v>
      </c>
      <c r="Q93" s="37">
        <v>0</v>
      </c>
      <c r="R93" s="4">
        <f t="shared" si="11"/>
        <v>0</v>
      </c>
      <c r="S93" s="7">
        <v>0</v>
      </c>
      <c r="T93" s="8">
        <f t="shared" si="12"/>
        <v>0</v>
      </c>
      <c r="U93" s="7">
        <v>0</v>
      </c>
      <c r="V93" s="13">
        <v>25.72</v>
      </c>
      <c r="W93" s="10">
        <v>10.939</v>
      </c>
      <c r="X93" s="10">
        <v>5.75</v>
      </c>
      <c r="Y93" s="10">
        <v>3.13</v>
      </c>
      <c r="Z93" s="10">
        <v>6.71</v>
      </c>
      <c r="AA93" s="10">
        <v>1.71</v>
      </c>
      <c r="AB93" s="10">
        <v>70.56</v>
      </c>
      <c r="AC93" s="10">
        <v>71.41</v>
      </c>
      <c r="AD93" s="10">
        <v>45.17</v>
      </c>
      <c r="AE93" s="10">
        <v>68.39</v>
      </c>
      <c r="AF93" s="10">
        <v>76.2</v>
      </c>
      <c r="AG93" s="10">
        <v>44.44</v>
      </c>
      <c r="AH93" s="10">
        <v>13.1</v>
      </c>
      <c r="AI93" s="10">
        <v>0.17</v>
      </c>
      <c r="AJ93" s="10">
        <v>77.459999999999994</v>
      </c>
      <c r="BB93" s="12"/>
    </row>
    <row r="94" spans="1:54" x14ac:dyDescent="0.35">
      <c r="A94" s="3">
        <v>105</v>
      </c>
      <c r="B94" s="3">
        <v>5</v>
      </c>
      <c r="C94" s="3">
        <v>2</v>
      </c>
      <c r="D94" s="3">
        <v>1</v>
      </c>
      <c r="E94" s="3">
        <v>35</v>
      </c>
      <c r="F94" s="3">
        <v>652.59</v>
      </c>
      <c r="G94" s="4">
        <f t="shared" si="8"/>
        <v>0.65259</v>
      </c>
      <c r="H94" s="4">
        <f t="shared" si="14"/>
        <v>43.07094</v>
      </c>
      <c r="I94" s="3">
        <v>66</v>
      </c>
      <c r="J94" s="4">
        <f t="shared" si="9"/>
        <v>0.64400000000000002</v>
      </c>
      <c r="K94" s="5">
        <v>322</v>
      </c>
      <c r="L94" s="6">
        <f t="shared" si="15"/>
        <v>0.32200000000000001</v>
      </c>
      <c r="M94" s="5">
        <v>2</v>
      </c>
      <c r="N94" s="4">
        <f t="shared" si="13"/>
        <v>0.745</v>
      </c>
      <c r="O94" s="37">
        <v>745</v>
      </c>
      <c r="P94" s="38">
        <f t="shared" si="10"/>
        <v>0.745</v>
      </c>
      <c r="Q94" s="37">
        <v>1</v>
      </c>
      <c r="R94" s="4">
        <f t="shared" si="11"/>
        <v>0.49</v>
      </c>
      <c r="S94" s="7">
        <v>490</v>
      </c>
      <c r="T94" s="8">
        <f t="shared" si="12"/>
        <v>0.49</v>
      </c>
      <c r="U94" s="7">
        <v>1</v>
      </c>
      <c r="V94" s="13">
        <v>20.58</v>
      </c>
      <c r="W94" s="10">
        <v>9.5259999999999998</v>
      </c>
      <c r="X94" s="10">
        <v>4.431</v>
      </c>
      <c r="Y94" s="10">
        <v>2.5529999999999999</v>
      </c>
      <c r="Z94" s="10">
        <v>4.2300000000000004</v>
      </c>
      <c r="AA94" s="10">
        <v>1</v>
      </c>
      <c r="AB94" s="10">
        <v>75.09</v>
      </c>
      <c r="AC94" s="10">
        <v>78.53</v>
      </c>
      <c r="AD94" s="10">
        <v>48.8</v>
      </c>
      <c r="AE94" s="10">
        <v>73.62</v>
      </c>
      <c r="AF94" s="10">
        <v>87.04</v>
      </c>
      <c r="AG94" s="10">
        <v>48.19</v>
      </c>
      <c r="AH94" s="10">
        <v>15.1</v>
      </c>
      <c r="AI94" s="24">
        <v>0.18</v>
      </c>
      <c r="AJ94" s="10">
        <v>85.54</v>
      </c>
      <c r="BB94" s="12"/>
    </row>
    <row r="95" spans="1:54" x14ac:dyDescent="0.35">
      <c r="A95" s="3">
        <v>106</v>
      </c>
      <c r="B95" s="3">
        <v>3</v>
      </c>
      <c r="C95" s="3">
        <v>2</v>
      </c>
      <c r="D95" s="3">
        <v>5</v>
      </c>
      <c r="E95" s="3">
        <v>25</v>
      </c>
      <c r="F95" s="3">
        <v>997.69</v>
      </c>
      <c r="G95" s="4">
        <f t="shared" si="8"/>
        <v>0.99769000000000008</v>
      </c>
      <c r="H95" s="4">
        <f t="shared" si="14"/>
        <v>32.923770000000005</v>
      </c>
      <c r="I95" s="3">
        <v>33</v>
      </c>
      <c r="J95" s="4">
        <f t="shared" si="9"/>
        <v>0.53</v>
      </c>
      <c r="K95" s="5">
        <v>265</v>
      </c>
      <c r="L95" s="6">
        <f t="shared" si="15"/>
        <v>0.26500000000000001</v>
      </c>
      <c r="M95" s="5">
        <v>2</v>
      </c>
      <c r="N95" s="4">
        <f t="shared" si="13"/>
        <v>2.0640000000000001</v>
      </c>
      <c r="O95" s="37">
        <v>2064</v>
      </c>
      <c r="P95" s="38">
        <f t="shared" si="10"/>
        <v>2.0640000000000001</v>
      </c>
      <c r="Q95" s="37">
        <v>1</v>
      </c>
      <c r="R95" s="4">
        <f t="shared" si="11"/>
        <v>0.44500000000000001</v>
      </c>
      <c r="S95" s="7">
        <v>445</v>
      </c>
      <c r="T95" s="8">
        <f t="shared" si="12"/>
        <v>0.44500000000000001</v>
      </c>
      <c r="U95" s="7">
        <v>1</v>
      </c>
      <c r="V95" s="13">
        <v>24.4</v>
      </c>
      <c r="W95" s="10">
        <v>10.440000000000001</v>
      </c>
      <c r="X95" s="10">
        <v>5.4180000000000001</v>
      </c>
      <c r="Y95" s="10">
        <v>2.5019999999999998</v>
      </c>
      <c r="Z95" s="10">
        <v>5.76</v>
      </c>
      <c r="AA95" s="10">
        <v>1.1000000000000001</v>
      </c>
      <c r="AB95" s="10">
        <v>60.27</v>
      </c>
      <c r="AC95" s="10">
        <v>77.84</v>
      </c>
      <c r="AD95" s="10">
        <v>39.520000000000003</v>
      </c>
      <c r="AE95" s="10">
        <v>54.89</v>
      </c>
      <c r="AF95" s="10">
        <v>79.83</v>
      </c>
      <c r="AG95" s="10">
        <v>36.51</v>
      </c>
      <c r="AH95" s="10">
        <v>14.6</v>
      </c>
      <c r="AI95" s="10">
        <v>0.15</v>
      </c>
      <c r="AJ95" s="10">
        <v>97.14</v>
      </c>
      <c r="BB95" s="12"/>
    </row>
    <row r="96" spans="1:54" x14ac:dyDescent="0.35">
      <c r="A96" s="3">
        <v>107</v>
      </c>
      <c r="B96" s="3">
        <v>9</v>
      </c>
      <c r="C96" s="3">
        <v>2</v>
      </c>
      <c r="D96" s="3">
        <v>7</v>
      </c>
      <c r="E96" s="3">
        <v>77</v>
      </c>
      <c r="F96" s="3">
        <v>846.1</v>
      </c>
      <c r="G96" s="4">
        <f t="shared" si="8"/>
        <v>0.84610000000000007</v>
      </c>
      <c r="H96" s="4">
        <f t="shared" si="14"/>
        <v>66.84190000000001</v>
      </c>
      <c r="I96" s="3">
        <v>79</v>
      </c>
      <c r="J96" s="4">
        <f t="shared" si="9"/>
        <v>1.4339999999999999</v>
      </c>
      <c r="K96" s="5">
        <v>478</v>
      </c>
      <c r="L96" s="6">
        <f t="shared" si="15"/>
        <v>0.47799999999999998</v>
      </c>
      <c r="M96" s="5">
        <v>3</v>
      </c>
      <c r="N96" s="4">
        <f t="shared" si="13"/>
        <v>3.8369999999999997</v>
      </c>
      <c r="O96" s="37">
        <v>767.4</v>
      </c>
      <c r="P96" s="38">
        <f t="shared" si="10"/>
        <v>0.76739999999999997</v>
      </c>
      <c r="Q96" s="37">
        <v>5</v>
      </c>
      <c r="R96" s="4">
        <f t="shared" si="11"/>
        <v>1.0820000000000001</v>
      </c>
      <c r="S96" s="7">
        <v>1082</v>
      </c>
      <c r="T96" s="8">
        <f t="shared" si="12"/>
        <v>1.0820000000000001</v>
      </c>
      <c r="U96" s="7">
        <v>1</v>
      </c>
      <c r="V96" s="13">
        <v>19.96</v>
      </c>
      <c r="W96" s="10">
        <v>9.3209999999999997</v>
      </c>
      <c r="X96" s="10">
        <v>4.3170000000000002</v>
      </c>
      <c r="Y96" s="10">
        <v>2.6890000000000001</v>
      </c>
      <c r="Z96" s="10">
        <v>4.24</v>
      </c>
      <c r="AA96" s="10">
        <v>0.83</v>
      </c>
      <c r="AB96" s="10">
        <v>67.77</v>
      </c>
      <c r="AC96" s="10">
        <v>78.39</v>
      </c>
      <c r="AD96" s="10">
        <v>41.36</v>
      </c>
      <c r="AE96" s="10">
        <v>62.72</v>
      </c>
      <c r="AF96" s="10">
        <v>85.98</v>
      </c>
      <c r="AG96" s="10">
        <v>42.05</v>
      </c>
      <c r="AH96" s="10">
        <v>14.9</v>
      </c>
      <c r="AI96" s="10">
        <v>0.18</v>
      </c>
      <c r="AJ96" s="10">
        <v>83.11</v>
      </c>
      <c r="BB96" s="12"/>
    </row>
    <row r="97" spans="1:54" x14ac:dyDescent="0.35">
      <c r="A97" s="3">
        <v>108</v>
      </c>
      <c r="B97" s="3">
        <v>8</v>
      </c>
      <c r="C97" s="3">
        <v>2</v>
      </c>
      <c r="D97" s="3">
        <v>7</v>
      </c>
      <c r="E97" s="3">
        <v>76</v>
      </c>
      <c r="F97" s="3">
        <v>1411.07</v>
      </c>
      <c r="G97" s="4">
        <f t="shared" si="8"/>
        <v>1.41107</v>
      </c>
      <c r="H97" s="4">
        <f t="shared" si="14"/>
        <v>39.50996</v>
      </c>
      <c r="I97" s="3">
        <v>28</v>
      </c>
      <c r="J97" s="4">
        <f t="shared" si="9"/>
        <v>2.1230000000000002</v>
      </c>
      <c r="K97" s="5">
        <v>530.75</v>
      </c>
      <c r="L97" s="6">
        <f t="shared" si="15"/>
        <v>0.53075000000000006</v>
      </c>
      <c r="M97" s="5">
        <v>4</v>
      </c>
      <c r="N97" s="4">
        <f t="shared" si="13"/>
        <v>2.5259999999999998</v>
      </c>
      <c r="O97" s="37">
        <v>1263</v>
      </c>
      <c r="P97" s="38">
        <f t="shared" si="10"/>
        <v>1.2629999999999999</v>
      </c>
      <c r="Q97" s="37">
        <v>2</v>
      </c>
      <c r="R97" s="4">
        <f t="shared" si="11"/>
        <v>1.2170000000000001</v>
      </c>
      <c r="S97" s="7">
        <v>1217</v>
      </c>
      <c r="T97" s="8">
        <f t="shared" si="12"/>
        <v>1.2170000000000001</v>
      </c>
      <c r="U97" s="7">
        <v>1</v>
      </c>
      <c r="V97" s="13">
        <v>27.68</v>
      </c>
      <c r="W97" s="10">
        <v>10.915000000000001</v>
      </c>
      <c r="X97" s="10">
        <v>5.1159999999999997</v>
      </c>
      <c r="Y97" s="10">
        <v>3.1280000000000001</v>
      </c>
      <c r="Z97" s="10">
        <v>5.1100000000000003</v>
      </c>
      <c r="AA97" s="10">
        <v>1.19</v>
      </c>
      <c r="AB97" s="10">
        <v>74.989999999999995</v>
      </c>
      <c r="AC97" s="10">
        <v>86.81</v>
      </c>
      <c r="AD97" s="10">
        <v>48.15</v>
      </c>
      <c r="AE97" s="10">
        <v>77.12</v>
      </c>
      <c r="AF97" s="10">
        <v>85.1</v>
      </c>
      <c r="AG97" s="10">
        <v>48.01</v>
      </c>
      <c r="AH97" s="10">
        <v>12.2</v>
      </c>
      <c r="AI97" s="10">
        <v>0.12</v>
      </c>
      <c r="AJ97" s="10">
        <v>104.39</v>
      </c>
      <c r="BB97" s="12"/>
    </row>
    <row r="98" spans="1:54" x14ac:dyDescent="0.35">
      <c r="A98" s="3">
        <v>109</v>
      </c>
      <c r="B98" s="3">
        <v>5</v>
      </c>
      <c r="C98" s="3">
        <v>2</v>
      </c>
      <c r="D98" s="3">
        <v>4</v>
      </c>
      <c r="E98" s="3">
        <v>35</v>
      </c>
      <c r="F98" s="3">
        <v>961.48</v>
      </c>
      <c r="G98" s="4">
        <f t="shared" si="8"/>
        <v>0.96148</v>
      </c>
      <c r="H98" s="4">
        <f t="shared" si="14"/>
        <v>39.420679999999997</v>
      </c>
      <c r="I98" s="3">
        <v>41</v>
      </c>
      <c r="J98" s="4">
        <f t="shared" si="9"/>
        <v>1.05498</v>
      </c>
      <c r="K98" s="5">
        <v>351.66</v>
      </c>
      <c r="L98" s="6">
        <f t="shared" si="15"/>
        <v>0.35166000000000003</v>
      </c>
      <c r="M98" s="5">
        <v>3</v>
      </c>
      <c r="N98" s="4">
        <f t="shared" si="13"/>
        <v>0.624</v>
      </c>
      <c r="O98" s="37">
        <v>624</v>
      </c>
      <c r="P98" s="38">
        <f t="shared" si="10"/>
        <v>0.624</v>
      </c>
      <c r="Q98" s="37">
        <v>1</v>
      </c>
      <c r="R98" s="4">
        <f t="shared" si="11"/>
        <v>0</v>
      </c>
      <c r="S98" s="7">
        <v>0</v>
      </c>
      <c r="T98" s="8">
        <f t="shared" si="12"/>
        <v>0</v>
      </c>
      <c r="U98" s="7">
        <v>0</v>
      </c>
      <c r="V98" s="13">
        <v>23.82</v>
      </c>
      <c r="W98" s="10">
        <v>8.9400000000000013</v>
      </c>
      <c r="X98" s="10">
        <v>3.9630000000000001</v>
      </c>
      <c r="Y98" s="10">
        <v>2.6320000000000001</v>
      </c>
      <c r="Z98" s="10">
        <v>3.88</v>
      </c>
      <c r="AA98" s="10">
        <v>1.29</v>
      </c>
      <c r="AB98" s="10">
        <v>69.8</v>
      </c>
      <c r="AC98" s="10">
        <v>85.34</v>
      </c>
      <c r="AD98" s="10">
        <v>45.58</v>
      </c>
      <c r="AE98" s="10">
        <v>68.13</v>
      </c>
      <c r="AF98" s="10">
        <v>91.42</v>
      </c>
      <c r="AG98" s="10">
        <v>44.54</v>
      </c>
      <c r="AH98" s="10">
        <v>13.4</v>
      </c>
      <c r="AI98" s="10">
        <v>0.18</v>
      </c>
      <c r="AJ98" s="10">
        <v>75.53</v>
      </c>
      <c r="BB98" s="12"/>
    </row>
    <row r="99" spans="1:54" x14ac:dyDescent="0.35">
      <c r="A99" s="3">
        <v>110</v>
      </c>
      <c r="B99" s="3">
        <v>2</v>
      </c>
      <c r="C99" s="3">
        <v>2</v>
      </c>
      <c r="D99" s="3">
        <v>5</v>
      </c>
      <c r="E99" s="3">
        <v>18</v>
      </c>
      <c r="F99" s="3">
        <v>753.44</v>
      </c>
      <c r="G99" s="4">
        <f t="shared" si="8"/>
        <v>0.75344000000000011</v>
      </c>
      <c r="H99" s="4">
        <f t="shared" si="14"/>
        <v>28.630720000000004</v>
      </c>
      <c r="I99" s="3">
        <v>38</v>
      </c>
      <c r="J99" s="4">
        <f t="shared" si="9"/>
        <v>1.1520000000000001</v>
      </c>
      <c r="K99" s="5">
        <v>384</v>
      </c>
      <c r="L99" s="6">
        <f t="shared" si="15"/>
        <v>0.38400000000000001</v>
      </c>
      <c r="M99" s="5">
        <v>3</v>
      </c>
      <c r="N99" s="4">
        <f t="shared" si="13"/>
        <v>0.61499999999999999</v>
      </c>
      <c r="O99" s="37">
        <v>615</v>
      </c>
      <c r="P99" s="38">
        <f t="shared" si="10"/>
        <v>0.61499999999999999</v>
      </c>
      <c r="Q99" s="37">
        <v>1</v>
      </c>
      <c r="R99" s="4">
        <f t="shared" si="11"/>
        <v>0</v>
      </c>
      <c r="S99" s="7">
        <v>0</v>
      </c>
      <c r="T99" s="8">
        <f t="shared" si="12"/>
        <v>0</v>
      </c>
      <c r="U99" s="7">
        <v>0</v>
      </c>
      <c r="V99" s="13">
        <v>21.36</v>
      </c>
      <c r="W99" s="10">
        <v>7.0489999999999995</v>
      </c>
      <c r="X99" s="10">
        <v>3.052</v>
      </c>
      <c r="Y99" s="10">
        <v>2.08</v>
      </c>
      <c r="Z99" s="10">
        <v>4.99</v>
      </c>
      <c r="AA99" s="10">
        <v>1.89</v>
      </c>
      <c r="AB99" s="10">
        <v>77.66</v>
      </c>
      <c r="AC99" s="10">
        <v>66.12</v>
      </c>
      <c r="AD99" s="10">
        <v>50.41</v>
      </c>
      <c r="AE99" s="10">
        <v>69.489999999999995</v>
      </c>
      <c r="AF99" s="10">
        <v>68.180000000000007</v>
      </c>
      <c r="AG99" s="10">
        <v>44.82</v>
      </c>
      <c r="AH99" s="10">
        <v>15</v>
      </c>
      <c r="AI99" s="10">
        <v>0.19</v>
      </c>
      <c r="AJ99" s="10">
        <v>80.790000000000006</v>
      </c>
      <c r="BB99" s="12"/>
    </row>
    <row r="100" spans="1:54" x14ac:dyDescent="0.35">
      <c r="A100" s="3">
        <v>111</v>
      </c>
      <c r="B100" s="3">
        <v>4</v>
      </c>
      <c r="C100" s="3">
        <v>2</v>
      </c>
      <c r="D100" s="3">
        <v>1</v>
      </c>
      <c r="E100" s="3">
        <v>32</v>
      </c>
      <c r="F100" s="3">
        <v>1119.22</v>
      </c>
      <c r="G100" s="4">
        <f t="shared" si="8"/>
        <v>1.1192200000000001</v>
      </c>
      <c r="H100" s="4">
        <f t="shared" si="14"/>
        <v>54.841780000000007</v>
      </c>
      <c r="I100" s="3">
        <v>49</v>
      </c>
      <c r="J100" s="4">
        <f t="shared" si="9"/>
        <v>0.92500000000000004</v>
      </c>
      <c r="K100" s="5">
        <v>925</v>
      </c>
      <c r="L100" s="6">
        <f t="shared" si="15"/>
        <v>0.92500000000000004</v>
      </c>
      <c r="M100" s="5">
        <v>1</v>
      </c>
      <c r="N100" s="4">
        <f t="shared" si="13"/>
        <v>5.7849599999999999</v>
      </c>
      <c r="O100" s="37">
        <v>964.16</v>
      </c>
      <c r="P100" s="38">
        <f t="shared" si="10"/>
        <v>0.96416000000000002</v>
      </c>
      <c r="Q100" s="37">
        <v>6</v>
      </c>
      <c r="R100" s="4">
        <f t="shared" si="11"/>
        <v>2.7480000000000002</v>
      </c>
      <c r="S100" s="7">
        <v>1374</v>
      </c>
      <c r="T100" s="8">
        <f t="shared" si="12"/>
        <v>1.3740000000000001</v>
      </c>
      <c r="U100" s="7">
        <v>2</v>
      </c>
      <c r="V100" s="13">
        <v>21.38</v>
      </c>
      <c r="W100" s="10">
        <v>10.229000000000001</v>
      </c>
      <c r="X100" s="10">
        <v>4.9649999999999999</v>
      </c>
      <c r="Y100" s="10">
        <v>2.7069999999999999</v>
      </c>
      <c r="Z100" s="10">
        <v>5.28</v>
      </c>
      <c r="AA100" s="10">
        <v>1.45</v>
      </c>
      <c r="AB100" s="10">
        <v>73.040000000000006</v>
      </c>
      <c r="AC100" s="10">
        <v>72.12</v>
      </c>
      <c r="AD100" s="10">
        <v>47.42</v>
      </c>
      <c r="AE100" s="10">
        <v>67.3</v>
      </c>
      <c r="AF100" s="10">
        <v>74.7</v>
      </c>
      <c r="AG100" s="10">
        <v>43.85</v>
      </c>
      <c r="AH100" s="10">
        <v>14</v>
      </c>
      <c r="AI100" s="10">
        <v>0.19</v>
      </c>
      <c r="AJ100" s="10">
        <v>75.150000000000006</v>
      </c>
      <c r="BB100" s="12"/>
    </row>
    <row r="101" spans="1:54" x14ac:dyDescent="0.35">
      <c r="A101" s="3">
        <v>112</v>
      </c>
      <c r="B101" s="3">
        <v>9</v>
      </c>
      <c r="C101" s="3">
        <v>2</v>
      </c>
      <c r="D101" s="3">
        <v>2</v>
      </c>
      <c r="E101" s="3">
        <v>77</v>
      </c>
      <c r="F101" s="3">
        <v>1297.68</v>
      </c>
      <c r="G101" s="4">
        <f t="shared" si="8"/>
        <v>1.2976800000000002</v>
      </c>
      <c r="H101" s="4">
        <f t="shared" si="14"/>
        <v>58.395600000000009</v>
      </c>
      <c r="I101" s="3">
        <v>45</v>
      </c>
      <c r="J101" s="4">
        <f t="shared" si="9"/>
        <v>1.1557499999999998</v>
      </c>
      <c r="K101" s="5">
        <v>385.25</v>
      </c>
      <c r="L101" s="6">
        <f t="shared" si="15"/>
        <v>0.38524999999999998</v>
      </c>
      <c r="M101" s="5">
        <v>3</v>
      </c>
      <c r="N101" s="4">
        <f t="shared" si="13"/>
        <v>6.37</v>
      </c>
      <c r="O101" s="37">
        <v>1274</v>
      </c>
      <c r="P101" s="38">
        <f t="shared" si="10"/>
        <v>1.274</v>
      </c>
      <c r="Q101" s="37">
        <v>5</v>
      </c>
      <c r="R101" s="4">
        <f t="shared" si="11"/>
        <v>4.819</v>
      </c>
      <c r="S101" s="7">
        <v>1204.75</v>
      </c>
      <c r="T101" s="8">
        <f t="shared" si="12"/>
        <v>1.20475</v>
      </c>
      <c r="U101" s="7">
        <v>4</v>
      </c>
      <c r="V101" s="13">
        <v>23.6</v>
      </c>
      <c r="W101" s="10">
        <v>11.048999999999999</v>
      </c>
      <c r="X101" s="10">
        <v>5.5490000000000004</v>
      </c>
      <c r="Y101" s="10">
        <v>3.214</v>
      </c>
      <c r="Z101" s="10">
        <v>3.61</v>
      </c>
      <c r="AA101" s="10">
        <v>0.64</v>
      </c>
      <c r="AB101" s="10">
        <v>83.12</v>
      </c>
      <c r="AC101" s="10">
        <v>77.45</v>
      </c>
      <c r="AD101" s="10">
        <v>54.29</v>
      </c>
      <c r="AE101" s="10">
        <v>72.34</v>
      </c>
      <c r="AF101" s="10">
        <v>91.44</v>
      </c>
      <c r="AG101" s="10">
        <v>47.39</v>
      </c>
      <c r="AH101" s="10">
        <v>13</v>
      </c>
      <c r="AI101" s="10">
        <v>0.17</v>
      </c>
      <c r="AJ101" s="10">
        <v>77.28</v>
      </c>
      <c r="BB101" s="12"/>
    </row>
    <row r="102" spans="1:54" x14ac:dyDescent="0.35">
      <c r="A102" s="3">
        <v>113</v>
      </c>
      <c r="B102" s="3">
        <v>8</v>
      </c>
      <c r="C102" s="3">
        <v>2</v>
      </c>
      <c r="D102" s="3">
        <v>10</v>
      </c>
      <c r="E102" s="3">
        <v>76</v>
      </c>
      <c r="F102" s="3">
        <v>1436.92</v>
      </c>
      <c r="G102" s="4">
        <f t="shared" si="8"/>
        <v>1.43692</v>
      </c>
      <c r="H102" s="4">
        <f t="shared" si="14"/>
        <v>38.796839999999996</v>
      </c>
      <c r="I102" s="3">
        <v>27</v>
      </c>
      <c r="J102" s="4">
        <f t="shared" si="9"/>
        <v>1.7899799999999999</v>
      </c>
      <c r="K102" s="5">
        <v>596.66</v>
      </c>
      <c r="L102" s="6">
        <f t="shared" si="15"/>
        <v>0.59665999999999997</v>
      </c>
      <c r="M102" s="5">
        <v>3</v>
      </c>
      <c r="N102" s="4">
        <f t="shared" si="13"/>
        <v>0</v>
      </c>
      <c r="O102" s="37">
        <v>0</v>
      </c>
      <c r="P102" s="38">
        <f t="shared" si="10"/>
        <v>0</v>
      </c>
      <c r="Q102" s="37">
        <v>0</v>
      </c>
      <c r="R102" s="4">
        <f t="shared" si="11"/>
        <v>0</v>
      </c>
      <c r="S102" s="7">
        <v>0</v>
      </c>
      <c r="T102" s="8">
        <f t="shared" si="12"/>
        <v>0</v>
      </c>
      <c r="U102" s="7">
        <v>0</v>
      </c>
      <c r="V102" s="25">
        <v>26.2</v>
      </c>
      <c r="W102" s="25">
        <v>11.059000000000001</v>
      </c>
      <c r="X102" s="25">
        <v>5.79</v>
      </c>
      <c r="Y102" s="33">
        <v>3.88</v>
      </c>
      <c r="Z102" s="25">
        <v>4.75</v>
      </c>
      <c r="AA102" s="10">
        <v>1.31</v>
      </c>
      <c r="AB102" s="10">
        <v>86.75</v>
      </c>
      <c r="AC102" s="10">
        <v>82.34</v>
      </c>
      <c r="AD102" s="10">
        <v>55.66</v>
      </c>
      <c r="AE102" s="10">
        <v>81.95</v>
      </c>
      <c r="AF102" s="10">
        <v>85.9</v>
      </c>
      <c r="AG102" s="10">
        <v>55.13</v>
      </c>
      <c r="AH102" s="10">
        <v>11.5</v>
      </c>
      <c r="AI102" s="10">
        <v>0.18</v>
      </c>
      <c r="AJ102" s="10">
        <v>63.52</v>
      </c>
      <c r="BB102" s="12"/>
    </row>
    <row r="103" spans="1:54" x14ac:dyDescent="0.35">
      <c r="A103" s="3">
        <v>114</v>
      </c>
      <c r="B103" s="3">
        <v>1</v>
      </c>
      <c r="C103" s="3">
        <v>2</v>
      </c>
      <c r="D103" s="3">
        <v>8</v>
      </c>
      <c r="E103" s="3">
        <v>2</v>
      </c>
      <c r="F103" s="3">
        <v>819.06</v>
      </c>
      <c r="G103" s="4">
        <f t="shared" si="8"/>
        <v>0.8190599999999999</v>
      </c>
      <c r="H103" s="4">
        <f t="shared" si="14"/>
        <v>39.314879999999995</v>
      </c>
      <c r="I103" s="3">
        <v>48</v>
      </c>
      <c r="J103" s="4">
        <f t="shared" si="9"/>
        <v>5.9589599999999994</v>
      </c>
      <c r="K103" s="5">
        <v>496.58</v>
      </c>
      <c r="L103" s="6">
        <f t="shared" si="15"/>
        <v>0.49657999999999997</v>
      </c>
      <c r="M103" s="5">
        <v>12</v>
      </c>
      <c r="N103" s="4">
        <f t="shared" si="13"/>
        <v>2.4609899999999998</v>
      </c>
      <c r="O103" s="37">
        <v>820.33</v>
      </c>
      <c r="P103" s="38">
        <f t="shared" si="10"/>
        <v>0.82033</v>
      </c>
      <c r="Q103" s="37">
        <v>3</v>
      </c>
      <c r="R103" s="4">
        <f t="shared" si="11"/>
        <v>0.90500000000000003</v>
      </c>
      <c r="S103" s="7">
        <v>452.5</v>
      </c>
      <c r="T103" s="8">
        <f t="shared" si="12"/>
        <v>0.45250000000000001</v>
      </c>
      <c r="U103" s="7">
        <v>2</v>
      </c>
      <c r="V103" s="13">
        <v>20.56</v>
      </c>
      <c r="W103" s="10">
        <v>7.4260000000000002</v>
      </c>
      <c r="X103" s="10">
        <v>3.121</v>
      </c>
      <c r="Y103" s="10">
        <v>2.2429999999999999</v>
      </c>
      <c r="Z103" s="10">
        <v>2.11</v>
      </c>
      <c r="AA103" s="10">
        <v>0.7</v>
      </c>
      <c r="AB103" s="10">
        <v>54.91</v>
      </c>
      <c r="AC103" s="10">
        <v>68.09</v>
      </c>
      <c r="AD103" s="10">
        <v>36.020000000000003</v>
      </c>
      <c r="AE103" s="10">
        <v>48.46</v>
      </c>
      <c r="AF103" s="10">
        <v>69.98</v>
      </c>
      <c r="AG103" s="10">
        <v>31.86</v>
      </c>
      <c r="AH103" s="10">
        <v>14.3</v>
      </c>
      <c r="AI103" s="10">
        <v>0.15</v>
      </c>
      <c r="AJ103" s="10">
        <v>95.96</v>
      </c>
      <c r="BB103" s="12"/>
    </row>
    <row r="104" spans="1:54" x14ac:dyDescent="0.35">
      <c r="A104" s="3">
        <v>115</v>
      </c>
      <c r="B104" s="3">
        <v>6</v>
      </c>
      <c r="C104" s="3">
        <v>2</v>
      </c>
      <c r="D104" s="3">
        <v>3</v>
      </c>
      <c r="E104" s="3">
        <v>46</v>
      </c>
      <c r="F104" s="3">
        <v>1029.05</v>
      </c>
      <c r="G104" s="4">
        <f t="shared" si="8"/>
        <v>1.02905</v>
      </c>
      <c r="H104" s="4">
        <f t="shared" si="14"/>
        <v>58.655850000000001</v>
      </c>
      <c r="I104" s="3">
        <v>57</v>
      </c>
      <c r="J104" s="4">
        <f t="shared" si="9"/>
        <v>2.9860000000000002</v>
      </c>
      <c r="K104" s="5">
        <v>597.20000000000005</v>
      </c>
      <c r="L104" s="6">
        <f t="shared" si="15"/>
        <v>0.59720000000000006</v>
      </c>
      <c r="M104" s="5">
        <v>5</v>
      </c>
      <c r="N104" s="4">
        <f t="shared" si="13"/>
        <v>4.5590000000000002</v>
      </c>
      <c r="O104" s="37">
        <v>1139.75</v>
      </c>
      <c r="P104" s="38">
        <f t="shared" si="10"/>
        <v>1.13975</v>
      </c>
      <c r="Q104" s="37">
        <v>4</v>
      </c>
      <c r="R104" s="4">
        <f t="shared" si="11"/>
        <v>2.4086599999999998</v>
      </c>
      <c r="S104" s="7">
        <v>1204.33</v>
      </c>
      <c r="T104" s="8">
        <f t="shared" si="12"/>
        <v>1.2043299999999999</v>
      </c>
      <c r="U104" s="7">
        <v>2</v>
      </c>
      <c r="V104" s="13">
        <v>21.5</v>
      </c>
      <c r="W104" s="10">
        <v>8.7230000000000008</v>
      </c>
      <c r="X104" s="10">
        <v>3.5310000000000001</v>
      </c>
      <c r="Y104" s="10">
        <v>2.758</v>
      </c>
      <c r="Z104" s="10">
        <v>5.0999999999999996</v>
      </c>
      <c r="AA104" s="10">
        <v>1.61</v>
      </c>
      <c r="AB104" s="10">
        <v>73.650000000000006</v>
      </c>
      <c r="AC104" s="10">
        <v>75.62</v>
      </c>
      <c r="AD104" s="10">
        <v>45.41</v>
      </c>
      <c r="AE104" s="10">
        <v>69.23</v>
      </c>
      <c r="AF104" s="10">
        <v>75.459999999999994</v>
      </c>
      <c r="AG104" s="10">
        <v>47.58</v>
      </c>
      <c r="AH104" s="10">
        <v>14</v>
      </c>
      <c r="AI104" s="10">
        <v>0.18</v>
      </c>
      <c r="AJ104" s="10">
        <v>75.7</v>
      </c>
      <c r="BB104" s="12"/>
    </row>
    <row r="105" spans="1:54" x14ac:dyDescent="0.35">
      <c r="A105" s="3">
        <v>116</v>
      </c>
      <c r="B105" s="3">
        <v>1</v>
      </c>
      <c r="C105" s="3">
        <v>2</v>
      </c>
      <c r="D105" s="3">
        <v>6</v>
      </c>
      <c r="E105" s="3">
        <v>2</v>
      </c>
      <c r="F105" s="3">
        <v>1374.73</v>
      </c>
      <c r="G105" s="4">
        <f t="shared" si="8"/>
        <v>1.37473</v>
      </c>
      <c r="H105" s="4">
        <f t="shared" si="14"/>
        <v>31.618790000000001</v>
      </c>
      <c r="I105" s="3">
        <v>23</v>
      </c>
      <c r="J105" s="4">
        <f t="shared" si="9"/>
        <v>1.452</v>
      </c>
      <c r="K105" s="5">
        <v>484</v>
      </c>
      <c r="L105" s="6">
        <f t="shared" si="15"/>
        <v>0.48399999999999999</v>
      </c>
      <c r="M105" s="5">
        <v>3</v>
      </c>
      <c r="N105" s="4">
        <f t="shared" si="13"/>
        <v>6.3010000000000002</v>
      </c>
      <c r="O105" s="37">
        <v>1575.25</v>
      </c>
      <c r="P105" s="38">
        <f t="shared" si="10"/>
        <v>1.57525</v>
      </c>
      <c r="Q105" s="37">
        <v>4</v>
      </c>
      <c r="R105" s="4">
        <f t="shared" si="11"/>
        <v>0</v>
      </c>
      <c r="S105" s="7">
        <v>0</v>
      </c>
      <c r="T105" s="8">
        <f t="shared" si="12"/>
        <v>0</v>
      </c>
      <c r="U105" s="7">
        <v>0</v>
      </c>
      <c r="V105" s="13">
        <v>23.95</v>
      </c>
      <c r="W105" s="10">
        <v>10.39</v>
      </c>
      <c r="X105" s="10">
        <v>6.351</v>
      </c>
      <c r="Y105" s="10">
        <v>2.5140000000000002</v>
      </c>
      <c r="Z105" s="10">
        <v>4.2300000000000004</v>
      </c>
      <c r="AA105" s="10">
        <v>1.01</v>
      </c>
      <c r="AB105" s="10">
        <v>68.59</v>
      </c>
      <c r="AC105" s="10">
        <v>75.900000000000006</v>
      </c>
      <c r="AD105" s="10">
        <v>44.85</v>
      </c>
      <c r="AE105" s="10">
        <v>70.25</v>
      </c>
      <c r="AF105" s="10">
        <v>76.72</v>
      </c>
      <c r="AG105" s="10">
        <v>46.03</v>
      </c>
      <c r="AH105" s="10">
        <v>13.8</v>
      </c>
      <c r="AI105" s="10">
        <v>0.18</v>
      </c>
      <c r="AJ105" s="10">
        <v>77.84</v>
      </c>
      <c r="BB105" s="12"/>
    </row>
    <row r="106" spans="1:54" x14ac:dyDescent="0.35">
      <c r="A106" s="3">
        <v>117</v>
      </c>
      <c r="B106" s="3">
        <v>4</v>
      </c>
      <c r="C106" s="3">
        <v>2</v>
      </c>
      <c r="D106" s="3">
        <v>4</v>
      </c>
      <c r="E106" s="3">
        <v>32</v>
      </c>
      <c r="F106" s="3">
        <v>852.54</v>
      </c>
      <c r="G106" s="4">
        <f t="shared" si="8"/>
        <v>0.85253999999999996</v>
      </c>
      <c r="H106" s="4">
        <f t="shared" si="14"/>
        <v>59.677799999999998</v>
      </c>
      <c r="I106" s="3">
        <v>70</v>
      </c>
      <c r="J106" s="4">
        <f t="shared" si="9"/>
        <v>2.5230000000000001</v>
      </c>
      <c r="K106" s="5">
        <v>504.6</v>
      </c>
      <c r="L106" s="6">
        <f t="shared" si="15"/>
        <v>0.50460000000000005</v>
      </c>
      <c r="M106" s="5">
        <v>5</v>
      </c>
      <c r="N106" s="4">
        <f t="shared" si="13"/>
        <v>4.617</v>
      </c>
      <c r="O106" s="37">
        <v>923.4</v>
      </c>
      <c r="P106" s="38">
        <f t="shared" si="10"/>
        <v>0.9234</v>
      </c>
      <c r="Q106" s="37">
        <v>5</v>
      </c>
      <c r="R106" s="4">
        <f t="shared" si="11"/>
        <v>0</v>
      </c>
      <c r="S106" s="7">
        <v>0</v>
      </c>
      <c r="T106" s="8">
        <f t="shared" si="12"/>
        <v>0</v>
      </c>
      <c r="U106" s="7">
        <v>0</v>
      </c>
      <c r="V106" s="13">
        <v>20.12</v>
      </c>
      <c r="W106" s="10">
        <v>7.895999999999999</v>
      </c>
      <c r="X106" s="10">
        <v>3.3540000000000001</v>
      </c>
      <c r="Y106" s="10">
        <v>2.3029999999999999</v>
      </c>
      <c r="Z106" s="10">
        <v>3.95</v>
      </c>
      <c r="AA106" s="10">
        <v>1.04</v>
      </c>
      <c r="AB106" s="10">
        <v>82.74</v>
      </c>
      <c r="AC106" s="10">
        <v>85.49</v>
      </c>
      <c r="AD106" s="10">
        <v>53.97</v>
      </c>
      <c r="AE106" s="10">
        <v>70.41</v>
      </c>
      <c r="AF106" s="10">
        <v>83.19</v>
      </c>
      <c r="AG106" s="10">
        <v>50.36</v>
      </c>
      <c r="AH106" s="10">
        <v>12.5</v>
      </c>
      <c r="AI106" s="10">
        <v>0.16</v>
      </c>
      <c r="AJ106" s="10">
        <v>77.66</v>
      </c>
      <c r="BB106" s="12"/>
    </row>
    <row r="107" spans="1:54" x14ac:dyDescent="0.35">
      <c r="A107" s="3">
        <v>118</v>
      </c>
      <c r="B107" s="9">
        <v>9</v>
      </c>
      <c r="C107" s="9">
        <v>4</v>
      </c>
      <c r="D107" s="9">
        <v>5</v>
      </c>
      <c r="E107" s="9">
        <v>89</v>
      </c>
      <c r="F107" s="3">
        <v>1099.67</v>
      </c>
      <c r="G107" s="4">
        <f t="shared" si="8"/>
        <v>1.0996700000000001</v>
      </c>
      <c r="H107" s="4">
        <f t="shared" si="14"/>
        <v>61.581520000000012</v>
      </c>
      <c r="I107" s="3">
        <v>56</v>
      </c>
      <c r="J107" s="4">
        <f t="shared" si="9"/>
        <v>3.4479899999999999</v>
      </c>
      <c r="K107" s="5">
        <v>492.57</v>
      </c>
      <c r="L107" s="6">
        <f t="shared" si="15"/>
        <v>0.49257000000000001</v>
      </c>
      <c r="M107" s="5">
        <v>7</v>
      </c>
      <c r="N107" s="4">
        <f t="shared" si="13"/>
        <v>6.2779799999999994</v>
      </c>
      <c r="O107" s="37">
        <v>1046.33</v>
      </c>
      <c r="P107" s="38">
        <f t="shared" si="10"/>
        <v>1.04633</v>
      </c>
      <c r="Q107" s="37">
        <v>6</v>
      </c>
      <c r="R107" s="4">
        <f t="shared" si="11"/>
        <v>1.6639999999999999</v>
      </c>
      <c r="S107" s="7">
        <v>1664</v>
      </c>
      <c r="T107" s="8">
        <f t="shared" si="12"/>
        <v>1.6639999999999999</v>
      </c>
      <c r="U107" s="7">
        <v>1</v>
      </c>
      <c r="V107" s="13">
        <v>23.72</v>
      </c>
      <c r="W107" s="10">
        <v>9.25</v>
      </c>
      <c r="X107" s="10">
        <v>4.1259999999999994</v>
      </c>
      <c r="Y107" s="10">
        <v>2.4350000000000001</v>
      </c>
      <c r="Z107" s="10">
        <v>4.28</v>
      </c>
      <c r="AA107" s="10">
        <v>0.82</v>
      </c>
      <c r="AB107" s="10">
        <v>72.680000000000007</v>
      </c>
      <c r="AC107" s="10">
        <v>92.5</v>
      </c>
      <c r="AD107" s="10">
        <v>46.61</v>
      </c>
      <c r="AE107" s="10">
        <v>71.8</v>
      </c>
      <c r="AF107" s="10">
        <v>95.37</v>
      </c>
      <c r="AG107" s="10">
        <v>46.76</v>
      </c>
      <c r="AH107" s="10">
        <v>15.6</v>
      </c>
      <c r="AI107" s="24">
        <v>0.16</v>
      </c>
      <c r="AJ107" s="10">
        <v>92.5</v>
      </c>
      <c r="AK107" s="11"/>
      <c r="AL107" s="11"/>
      <c r="AM107" s="11"/>
      <c r="AN107" s="11"/>
      <c r="AO107" s="11"/>
      <c r="AP107" s="11"/>
      <c r="AQ107" s="11"/>
      <c r="BB107" s="12"/>
    </row>
    <row r="108" spans="1:54" x14ac:dyDescent="0.35">
      <c r="A108" s="3">
        <v>119</v>
      </c>
      <c r="B108" s="9">
        <v>6</v>
      </c>
      <c r="C108" s="9">
        <v>4</v>
      </c>
      <c r="D108" s="9">
        <v>8</v>
      </c>
      <c r="E108" s="9">
        <v>58</v>
      </c>
      <c r="F108" s="3">
        <v>1051.9000000000001</v>
      </c>
      <c r="G108" s="4">
        <f t="shared" si="8"/>
        <v>1.0519000000000001</v>
      </c>
      <c r="H108" s="4">
        <f t="shared" si="14"/>
        <v>68.373500000000007</v>
      </c>
      <c r="I108" s="3">
        <v>65</v>
      </c>
      <c r="J108" s="4">
        <f t="shared" si="9"/>
        <v>0.65900000000000003</v>
      </c>
      <c r="K108" s="5">
        <v>659</v>
      </c>
      <c r="L108" s="6">
        <f t="shared" si="15"/>
        <v>0.65900000000000003</v>
      </c>
      <c r="M108" s="5">
        <v>1</v>
      </c>
      <c r="N108" s="4">
        <f t="shared" si="13"/>
        <v>2.0999999999999996</v>
      </c>
      <c r="O108" s="37">
        <v>700</v>
      </c>
      <c r="P108" s="38">
        <f t="shared" si="10"/>
        <v>0.7</v>
      </c>
      <c r="Q108" s="37">
        <v>3</v>
      </c>
      <c r="R108" s="4">
        <f t="shared" si="11"/>
        <v>3.5649899999999999</v>
      </c>
      <c r="S108" s="7">
        <v>1188.33</v>
      </c>
      <c r="T108" s="8">
        <f t="shared" si="12"/>
        <v>1.1883299999999999</v>
      </c>
      <c r="U108" s="7">
        <v>3</v>
      </c>
      <c r="V108" s="13">
        <v>22.22</v>
      </c>
      <c r="W108" s="10">
        <v>9.7189999999999994</v>
      </c>
      <c r="X108" s="10">
        <v>4.2629999999999999</v>
      </c>
      <c r="Y108" s="10">
        <v>2.798</v>
      </c>
      <c r="Z108" s="10">
        <v>6.21</v>
      </c>
      <c r="AA108" s="10">
        <v>1.24</v>
      </c>
      <c r="AB108" s="10">
        <v>79.42</v>
      </c>
      <c r="AC108" s="10">
        <v>77.05</v>
      </c>
      <c r="AD108" s="10">
        <v>47.1</v>
      </c>
      <c r="AE108" s="10">
        <v>77.900000000000006</v>
      </c>
      <c r="AF108" s="10">
        <v>70.239999999999995</v>
      </c>
      <c r="AG108" s="10">
        <v>48.65</v>
      </c>
      <c r="AH108" s="10">
        <v>14.4</v>
      </c>
      <c r="AI108" s="10">
        <v>0.17</v>
      </c>
      <c r="AJ108" s="10">
        <v>82.48</v>
      </c>
      <c r="AK108" s="11"/>
      <c r="AL108" s="11"/>
      <c r="AM108" s="11"/>
      <c r="AN108" s="11"/>
      <c r="AO108" s="11"/>
      <c r="AP108" s="11"/>
      <c r="AQ108" s="11"/>
      <c r="BB108" s="12"/>
    </row>
    <row r="109" spans="1:54" x14ac:dyDescent="0.35">
      <c r="A109" s="3">
        <v>120</v>
      </c>
      <c r="B109" s="9">
        <v>8</v>
      </c>
      <c r="C109" s="9">
        <v>4</v>
      </c>
      <c r="D109" s="9">
        <v>6</v>
      </c>
      <c r="E109" s="9">
        <v>86</v>
      </c>
      <c r="F109" s="3">
        <v>619.62</v>
      </c>
      <c r="G109" s="4">
        <f t="shared" si="8"/>
        <v>0.61962000000000006</v>
      </c>
      <c r="H109" s="4">
        <f t="shared" si="14"/>
        <v>73.734780000000001</v>
      </c>
      <c r="I109" s="3">
        <v>119</v>
      </c>
      <c r="J109" s="4">
        <f t="shared" si="9"/>
        <v>3.1669199999999997</v>
      </c>
      <c r="K109" s="5">
        <v>351.88</v>
      </c>
      <c r="L109" s="6">
        <f t="shared" si="15"/>
        <v>0.35187999999999997</v>
      </c>
      <c r="M109" s="5">
        <v>9</v>
      </c>
      <c r="N109" s="4">
        <f t="shared" si="13"/>
        <v>0.53900000000000003</v>
      </c>
      <c r="O109" s="37">
        <v>539</v>
      </c>
      <c r="P109" s="38">
        <f t="shared" si="10"/>
        <v>0.53900000000000003</v>
      </c>
      <c r="Q109" s="37">
        <v>1</v>
      </c>
      <c r="R109" s="4">
        <f t="shared" si="11"/>
        <v>1.998</v>
      </c>
      <c r="S109" s="7">
        <v>999</v>
      </c>
      <c r="T109" s="8">
        <f t="shared" si="12"/>
        <v>0.999</v>
      </c>
      <c r="U109" s="7">
        <v>2</v>
      </c>
      <c r="V109" s="13">
        <v>18.3</v>
      </c>
      <c r="W109" s="10">
        <v>8.4670000000000005</v>
      </c>
      <c r="X109" s="10">
        <v>3.8619999999999997</v>
      </c>
      <c r="Y109" s="10">
        <v>2.3809999999999998</v>
      </c>
      <c r="Z109" s="10">
        <v>3.19</v>
      </c>
      <c r="AA109" s="10">
        <v>0.92</v>
      </c>
      <c r="AB109" s="10">
        <v>73.73</v>
      </c>
      <c r="AC109" s="10">
        <v>85.64</v>
      </c>
      <c r="AD109" s="10">
        <v>46.41</v>
      </c>
      <c r="AE109" s="10">
        <v>63.85</v>
      </c>
      <c r="AF109" s="10">
        <v>87.11</v>
      </c>
      <c r="AG109" s="10">
        <v>41.17</v>
      </c>
      <c r="AH109" s="10">
        <v>15.3</v>
      </c>
      <c r="AI109" s="10">
        <v>0.15</v>
      </c>
      <c r="AJ109" s="10">
        <v>100.33</v>
      </c>
      <c r="AK109" s="11"/>
      <c r="AL109" s="11"/>
      <c r="AM109" s="11"/>
      <c r="AN109" s="11"/>
      <c r="AO109" s="11"/>
      <c r="AP109" s="11"/>
      <c r="AQ109" s="11"/>
      <c r="BB109" s="12"/>
    </row>
    <row r="110" spans="1:54" x14ac:dyDescent="0.35">
      <c r="A110" s="3">
        <v>121</v>
      </c>
      <c r="B110" s="9">
        <v>10</v>
      </c>
      <c r="C110" s="9">
        <v>4</v>
      </c>
      <c r="D110" s="9">
        <v>5</v>
      </c>
      <c r="E110" s="9">
        <v>95</v>
      </c>
      <c r="F110" s="3">
        <v>896.48</v>
      </c>
      <c r="G110" s="4">
        <f t="shared" si="8"/>
        <v>0.89648000000000005</v>
      </c>
      <c r="H110" s="4">
        <f t="shared" si="14"/>
        <v>78.890240000000006</v>
      </c>
      <c r="I110" s="3">
        <v>88</v>
      </c>
      <c r="J110" s="4">
        <f t="shared" si="9"/>
        <v>0.73899999999999999</v>
      </c>
      <c r="K110" s="5">
        <v>369.5</v>
      </c>
      <c r="L110" s="6">
        <f t="shared" si="15"/>
        <v>0.3695</v>
      </c>
      <c r="M110" s="5">
        <v>2</v>
      </c>
      <c r="N110" s="4">
        <f t="shared" si="13"/>
        <v>0</v>
      </c>
      <c r="O110" s="37">
        <v>0</v>
      </c>
      <c r="P110" s="38">
        <f t="shared" si="10"/>
        <v>0</v>
      </c>
      <c r="Q110" s="37">
        <v>0</v>
      </c>
      <c r="R110" s="4">
        <f t="shared" si="11"/>
        <v>4.9380000000000006</v>
      </c>
      <c r="S110" s="7">
        <v>987.6</v>
      </c>
      <c r="T110" s="8">
        <f t="shared" si="12"/>
        <v>0.98760000000000003</v>
      </c>
      <c r="U110" s="7">
        <v>5</v>
      </c>
      <c r="V110" s="13">
        <v>21.22</v>
      </c>
      <c r="W110" s="10">
        <v>9.2379999999999995</v>
      </c>
      <c r="X110" s="10">
        <v>4.3049999999999997</v>
      </c>
      <c r="Y110" s="10">
        <v>2.407</v>
      </c>
      <c r="Z110" s="10">
        <v>6.08</v>
      </c>
      <c r="AA110" s="10">
        <v>1.29</v>
      </c>
      <c r="AB110" s="10">
        <v>72</v>
      </c>
      <c r="AC110" s="10">
        <v>89.63</v>
      </c>
      <c r="AD110" s="10">
        <v>46.67</v>
      </c>
      <c r="AE110" s="10">
        <v>68.14</v>
      </c>
      <c r="AF110" s="10">
        <v>89.95</v>
      </c>
      <c r="AG110" s="10">
        <v>43.98</v>
      </c>
      <c r="AH110" s="10">
        <v>12.5</v>
      </c>
      <c r="AI110" s="10">
        <v>0.17</v>
      </c>
      <c r="AJ110" s="10">
        <v>72.67</v>
      </c>
      <c r="AK110" s="11"/>
      <c r="AL110" s="11"/>
      <c r="AM110" s="11"/>
      <c r="AN110" s="11"/>
      <c r="AO110" s="11"/>
      <c r="AP110" s="11"/>
      <c r="AQ110" s="11"/>
      <c r="BB110" s="12"/>
    </row>
    <row r="111" spans="1:54" x14ac:dyDescent="0.35">
      <c r="A111" s="3">
        <v>122</v>
      </c>
      <c r="B111" s="9">
        <v>6</v>
      </c>
      <c r="C111" s="9">
        <v>4</v>
      </c>
      <c r="D111" s="9">
        <v>7</v>
      </c>
      <c r="E111" s="9">
        <v>58</v>
      </c>
      <c r="F111" s="3">
        <v>972.45</v>
      </c>
      <c r="G111" s="4">
        <f t="shared" si="8"/>
        <v>0.97245000000000004</v>
      </c>
      <c r="H111" s="4">
        <f t="shared" si="14"/>
        <v>79.740899999999996</v>
      </c>
      <c r="I111" s="3">
        <v>82</v>
      </c>
      <c r="J111" s="4">
        <f t="shared" si="9"/>
        <v>1.9079999999999999</v>
      </c>
      <c r="K111" s="5">
        <v>477</v>
      </c>
      <c r="L111" s="6">
        <f t="shared" si="15"/>
        <v>0.47699999999999998</v>
      </c>
      <c r="M111" s="5">
        <v>4</v>
      </c>
      <c r="N111" s="4">
        <f t="shared" si="13"/>
        <v>0</v>
      </c>
      <c r="O111" s="37">
        <v>0</v>
      </c>
      <c r="P111" s="38">
        <f t="shared" si="10"/>
        <v>0</v>
      </c>
      <c r="Q111" s="37">
        <v>0</v>
      </c>
      <c r="R111" s="4">
        <f t="shared" si="11"/>
        <v>0.84699999999999998</v>
      </c>
      <c r="S111" s="7">
        <v>423.5</v>
      </c>
      <c r="T111" s="8">
        <f t="shared" si="12"/>
        <v>0.42349999999999999</v>
      </c>
      <c r="U111" s="7">
        <v>2</v>
      </c>
      <c r="V111" s="13">
        <v>24.08</v>
      </c>
      <c r="W111" s="10">
        <v>10.295</v>
      </c>
      <c r="X111" s="10">
        <v>5.2189999999999994</v>
      </c>
      <c r="Y111" s="10">
        <v>3.681</v>
      </c>
      <c r="Z111" s="10">
        <v>3.55</v>
      </c>
      <c r="AA111" s="10">
        <v>0.8</v>
      </c>
      <c r="AB111" s="10">
        <v>71.95</v>
      </c>
      <c r="AC111" s="10">
        <v>89.22</v>
      </c>
      <c r="AD111" s="10">
        <v>46.6</v>
      </c>
      <c r="AE111" s="10">
        <v>64.64</v>
      </c>
      <c r="AF111" s="10">
        <v>86.69</v>
      </c>
      <c r="AG111" s="10">
        <v>41.59</v>
      </c>
      <c r="AH111" s="10">
        <v>13.9</v>
      </c>
      <c r="AI111" s="10">
        <v>0.2</v>
      </c>
      <c r="AJ111" s="10">
        <v>70.64</v>
      </c>
      <c r="AK111" s="11"/>
      <c r="AL111" s="11"/>
      <c r="AM111" s="11"/>
      <c r="AN111" s="11"/>
      <c r="AO111" s="11"/>
      <c r="AP111" s="11"/>
      <c r="AQ111" s="11"/>
      <c r="BB111" s="12"/>
    </row>
    <row r="112" spans="1:54" x14ac:dyDescent="0.35">
      <c r="A112" s="3">
        <v>123</v>
      </c>
      <c r="B112" s="9">
        <v>2</v>
      </c>
      <c r="C112" s="9">
        <v>4</v>
      </c>
      <c r="D112" s="9">
        <v>7</v>
      </c>
      <c r="E112" s="9">
        <v>15</v>
      </c>
      <c r="F112" s="3">
        <v>1059.0899999999999</v>
      </c>
      <c r="G112" s="4">
        <f t="shared" si="8"/>
        <v>1.0590899999999999</v>
      </c>
      <c r="H112" s="4">
        <f t="shared" si="14"/>
        <v>54.013589999999994</v>
      </c>
      <c r="I112" s="3">
        <v>51</v>
      </c>
      <c r="J112" s="4">
        <f t="shared" si="9"/>
        <v>0.47</v>
      </c>
      <c r="K112" s="5">
        <v>470</v>
      </c>
      <c r="L112" s="6">
        <f t="shared" si="15"/>
        <v>0.47</v>
      </c>
      <c r="M112" s="5">
        <v>1</v>
      </c>
      <c r="N112" s="4">
        <f t="shared" si="13"/>
        <v>4.2069999999999999</v>
      </c>
      <c r="O112" s="37">
        <v>841.4</v>
      </c>
      <c r="P112" s="38">
        <f t="shared" si="10"/>
        <v>0.84139999999999993</v>
      </c>
      <c r="Q112" s="37">
        <v>5</v>
      </c>
      <c r="R112" s="4">
        <f t="shared" si="11"/>
        <v>0</v>
      </c>
      <c r="S112" s="7">
        <v>0</v>
      </c>
      <c r="T112" s="8">
        <f t="shared" si="12"/>
        <v>0</v>
      </c>
      <c r="U112" s="7">
        <v>0</v>
      </c>
      <c r="V112" s="13">
        <v>22.98</v>
      </c>
      <c r="W112" s="10">
        <v>10.48</v>
      </c>
      <c r="X112" s="10">
        <v>5.3890000000000002</v>
      </c>
      <c r="Y112" s="10">
        <v>2.6550000000000002</v>
      </c>
      <c r="Z112" s="10">
        <v>3.54</v>
      </c>
      <c r="AA112" s="10">
        <v>0.6</v>
      </c>
      <c r="AB112" s="10">
        <v>81.27</v>
      </c>
      <c r="AC112" s="10">
        <v>80.19</v>
      </c>
      <c r="AD112" s="10">
        <v>51.9</v>
      </c>
      <c r="AE112" s="10">
        <v>81.55</v>
      </c>
      <c r="AF112" s="10">
        <v>83.62</v>
      </c>
      <c r="AG112" s="10">
        <v>51.91</v>
      </c>
      <c r="AH112" s="10">
        <v>13.5</v>
      </c>
      <c r="AI112" s="10">
        <v>0.18</v>
      </c>
      <c r="AJ112" s="10">
        <v>75.569999999999993</v>
      </c>
      <c r="AK112" s="11"/>
      <c r="AL112" s="11"/>
      <c r="AM112" s="11"/>
      <c r="AN112" s="11"/>
      <c r="AO112" s="11"/>
      <c r="AP112" s="11"/>
      <c r="AQ112" s="11"/>
      <c r="BB112" s="12"/>
    </row>
    <row r="113" spans="1:54" x14ac:dyDescent="0.35">
      <c r="A113" s="3">
        <v>124</v>
      </c>
      <c r="B113" s="9">
        <v>1</v>
      </c>
      <c r="C113" s="9">
        <v>4</v>
      </c>
      <c r="D113" s="9">
        <v>5</v>
      </c>
      <c r="E113" s="9">
        <v>4</v>
      </c>
      <c r="F113" s="3">
        <v>819.67</v>
      </c>
      <c r="G113" s="4">
        <f t="shared" si="8"/>
        <v>0.81967000000000001</v>
      </c>
      <c r="H113" s="4">
        <f t="shared" si="14"/>
        <v>32.786799999999999</v>
      </c>
      <c r="I113" s="3">
        <v>40</v>
      </c>
      <c r="J113" s="4">
        <f t="shared" si="9"/>
        <v>0.62</v>
      </c>
      <c r="K113" s="5">
        <v>310</v>
      </c>
      <c r="L113" s="6">
        <f t="shared" si="15"/>
        <v>0.31</v>
      </c>
      <c r="M113" s="5">
        <v>2</v>
      </c>
      <c r="N113" s="4">
        <f t="shared" si="13"/>
        <v>2.3509799999999998</v>
      </c>
      <c r="O113" s="37">
        <v>783.66</v>
      </c>
      <c r="P113" s="38">
        <f t="shared" si="10"/>
        <v>0.78366000000000002</v>
      </c>
      <c r="Q113" s="37">
        <v>3</v>
      </c>
      <c r="R113" s="4">
        <f t="shared" si="11"/>
        <v>0</v>
      </c>
      <c r="S113" s="7">
        <v>0</v>
      </c>
      <c r="T113" s="8">
        <f t="shared" si="12"/>
        <v>0</v>
      </c>
      <c r="U113" s="7">
        <v>0</v>
      </c>
      <c r="V113" s="13">
        <v>19.62</v>
      </c>
      <c r="W113" s="10">
        <v>9.2050000000000001</v>
      </c>
      <c r="X113" s="10">
        <v>4.7960000000000003</v>
      </c>
      <c r="Y113" s="10">
        <v>2.2839999999999998</v>
      </c>
      <c r="Z113" s="10">
        <v>3.59</v>
      </c>
      <c r="AA113" s="10">
        <v>1.1299999999999999</v>
      </c>
      <c r="AB113" s="10">
        <v>75.930000000000007</v>
      </c>
      <c r="AC113" s="10">
        <v>85.65</v>
      </c>
      <c r="AD113" s="10">
        <v>48.1</v>
      </c>
      <c r="AE113" s="10">
        <v>58.81</v>
      </c>
      <c r="AF113" s="10">
        <v>84.16</v>
      </c>
      <c r="AG113" s="10">
        <v>38.119999999999997</v>
      </c>
      <c r="AH113" s="10">
        <v>15.9</v>
      </c>
      <c r="AI113" s="10">
        <v>0.16</v>
      </c>
      <c r="AJ113" s="10">
        <v>97.91</v>
      </c>
      <c r="AK113" s="11"/>
      <c r="AL113" s="11"/>
      <c r="AM113" s="11"/>
      <c r="AN113" s="11"/>
      <c r="AO113" s="11"/>
      <c r="AP113" s="11"/>
      <c r="AQ113" s="11"/>
      <c r="BB113" s="12"/>
    </row>
    <row r="114" spans="1:54" x14ac:dyDescent="0.35">
      <c r="A114" s="3">
        <v>125</v>
      </c>
      <c r="B114" s="9">
        <v>7</v>
      </c>
      <c r="C114" s="9">
        <v>4</v>
      </c>
      <c r="D114" s="9">
        <v>3</v>
      </c>
      <c r="E114" s="9">
        <v>72</v>
      </c>
      <c r="F114" s="3">
        <v>1091.5</v>
      </c>
      <c r="G114" s="4">
        <f t="shared" si="8"/>
        <v>1.0914999999999999</v>
      </c>
      <c r="H114" s="4">
        <f t="shared" si="14"/>
        <v>55.666499999999999</v>
      </c>
      <c r="I114" s="3">
        <v>51</v>
      </c>
      <c r="J114" s="4">
        <f t="shared" si="9"/>
        <v>1.7649900000000001</v>
      </c>
      <c r="K114" s="5">
        <v>588.33000000000004</v>
      </c>
      <c r="L114" s="6">
        <f t="shared" si="15"/>
        <v>0.58833000000000002</v>
      </c>
      <c r="M114" s="5">
        <v>3</v>
      </c>
      <c r="N114" s="4">
        <f t="shared" si="13"/>
        <v>0.42799999999999999</v>
      </c>
      <c r="O114" s="37">
        <v>428</v>
      </c>
      <c r="P114" s="38">
        <f t="shared" si="10"/>
        <v>0.42799999999999999</v>
      </c>
      <c r="Q114" s="37">
        <v>1</v>
      </c>
      <c r="R114" s="4">
        <f t="shared" si="11"/>
        <v>0</v>
      </c>
      <c r="S114" s="7">
        <v>0</v>
      </c>
      <c r="T114" s="8">
        <f t="shared" si="12"/>
        <v>0</v>
      </c>
      <c r="U114" s="7">
        <v>0</v>
      </c>
      <c r="V114" s="13">
        <v>23.36</v>
      </c>
      <c r="W114" s="10">
        <v>10.602</v>
      </c>
      <c r="X114" s="10">
        <v>4.798</v>
      </c>
      <c r="Y114" s="10">
        <v>2.984</v>
      </c>
      <c r="Z114" s="10">
        <v>4.24</v>
      </c>
      <c r="AA114" s="10">
        <v>0.84</v>
      </c>
      <c r="AB114" s="10">
        <v>82.89</v>
      </c>
      <c r="AC114" s="10">
        <v>87.1</v>
      </c>
      <c r="AD114" s="10">
        <v>52.68</v>
      </c>
      <c r="AE114" s="10">
        <v>81.040000000000006</v>
      </c>
      <c r="AF114" s="10">
        <v>89.09</v>
      </c>
      <c r="AG114" s="10">
        <v>52.96</v>
      </c>
      <c r="AH114" s="10">
        <v>14.3</v>
      </c>
      <c r="AI114" s="10">
        <v>0.17</v>
      </c>
      <c r="AJ114" s="10">
        <v>84.98</v>
      </c>
      <c r="AK114" s="11"/>
      <c r="AL114" s="11"/>
      <c r="AM114" s="11"/>
      <c r="AN114" s="11"/>
      <c r="AO114" s="11"/>
      <c r="AP114" s="11"/>
      <c r="AQ114" s="11"/>
      <c r="BB114" s="12"/>
    </row>
    <row r="115" spans="1:54" x14ac:dyDescent="0.35">
      <c r="A115" s="3">
        <v>126</v>
      </c>
      <c r="B115" s="9">
        <v>6</v>
      </c>
      <c r="C115" s="9">
        <v>4</v>
      </c>
      <c r="D115" s="9">
        <v>10</v>
      </c>
      <c r="E115" s="9">
        <v>58</v>
      </c>
      <c r="F115" s="3">
        <v>947.01</v>
      </c>
      <c r="G115" s="4">
        <f t="shared" si="8"/>
        <v>0.94701000000000002</v>
      </c>
      <c r="H115" s="4">
        <f t="shared" si="14"/>
        <v>49.244520000000001</v>
      </c>
      <c r="I115" s="3">
        <v>52</v>
      </c>
      <c r="J115" s="4">
        <f t="shared" si="9"/>
        <v>3.3089699999999995</v>
      </c>
      <c r="K115" s="5">
        <v>472.71</v>
      </c>
      <c r="L115" s="6">
        <f t="shared" si="15"/>
        <v>0.47270999999999996</v>
      </c>
      <c r="M115" s="5">
        <v>7</v>
      </c>
      <c r="N115" s="4">
        <f t="shared" si="13"/>
        <v>1.371</v>
      </c>
      <c r="O115" s="37">
        <v>1371</v>
      </c>
      <c r="P115" s="38">
        <f t="shared" si="10"/>
        <v>1.371</v>
      </c>
      <c r="Q115" s="37">
        <v>1</v>
      </c>
      <c r="R115" s="4">
        <f t="shared" si="11"/>
        <v>0</v>
      </c>
      <c r="S115" s="7">
        <v>0</v>
      </c>
      <c r="T115" s="8">
        <f t="shared" si="12"/>
        <v>0</v>
      </c>
      <c r="U115" s="7">
        <v>0</v>
      </c>
      <c r="V115" s="13">
        <v>21.43</v>
      </c>
      <c r="W115" s="10">
        <v>9.25</v>
      </c>
      <c r="X115" s="10">
        <v>4.7810000000000006</v>
      </c>
      <c r="Y115" s="10">
        <v>2.8380000000000001</v>
      </c>
      <c r="Z115" s="10">
        <v>4.6500000000000004</v>
      </c>
      <c r="AA115" s="10">
        <v>1.39</v>
      </c>
      <c r="AB115" s="10">
        <v>75.37</v>
      </c>
      <c r="AC115" s="10">
        <v>89.38</v>
      </c>
      <c r="AD115" s="10">
        <v>48.33</v>
      </c>
      <c r="AE115" s="10">
        <v>65.64</v>
      </c>
      <c r="AF115" s="10">
        <v>91.83</v>
      </c>
      <c r="AG115" s="10">
        <v>42.21</v>
      </c>
      <c r="AH115" s="10">
        <v>13.2</v>
      </c>
      <c r="AI115" s="10">
        <v>0.17</v>
      </c>
      <c r="AJ115" s="10">
        <v>75.3</v>
      </c>
      <c r="AK115" s="11"/>
      <c r="AL115" s="11"/>
      <c r="AM115" s="11"/>
      <c r="AN115" s="11"/>
      <c r="AO115" s="11"/>
      <c r="AP115" s="11"/>
      <c r="AQ115" s="11"/>
      <c r="BB115" s="12"/>
    </row>
    <row r="116" spans="1:54" x14ac:dyDescent="0.35">
      <c r="A116" s="3">
        <v>127</v>
      </c>
      <c r="B116" s="9">
        <v>5</v>
      </c>
      <c r="C116" s="9">
        <v>4</v>
      </c>
      <c r="D116" s="9">
        <v>7</v>
      </c>
      <c r="E116" s="9">
        <v>56</v>
      </c>
      <c r="F116" s="3">
        <v>1037.3699999999999</v>
      </c>
      <c r="G116" s="4">
        <f t="shared" si="8"/>
        <v>1.0373699999999999</v>
      </c>
      <c r="H116" s="4">
        <f t="shared" si="14"/>
        <v>60.167459999999991</v>
      </c>
      <c r="I116" s="3">
        <v>58</v>
      </c>
      <c r="J116" s="4">
        <f t="shared" si="9"/>
        <v>1.74498</v>
      </c>
      <c r="K116" s="5">
        <v>581.66</v>
      </c>
      <c r="L116" s="6">
        <f t="shared" si="15"/>
        <v>0.58165999999999995</v>
      </c>
      <c r="M116" s="5">
        <v>3</v>
      </c>
      <c r="N116" s="4">
        <f t="shared" si="13"/>
        <v>2.1150000000000002</v>
      </c>
      <c r="O116" s="37">
        <v>2115</v>
      </c>
      <c r="P116" s="38">
        <f t="shared" si="10"/>
        <v>2.1150000000000002</v>
      </c>
      <c r="Q116" s="37">
        <v>1</v>
      </c>
      <c r="R116" s="4">
        <f t="shared" si="11"/>
        <v>0.94299999999999995</v>
      </c>
      <c r="S116" s="7">
        <v>943</v>
      </c>
      <c r="T116" s="8">
        <f t="shared" si="12"/>
        <v>0.94299999999999995</v>
      </c>
      <c r="U116" s="7">
        <v>1</v>
      </c>
      <c r="V116" s="13">
        <v>21.8</v>
      </c>
      <c r="W116" s="10">
        <v>9.1669999999999998</v>
      </c>
      <c r="X116" s="10">
        <v>3.589</v>
      </c>
      <c r="Y116" s="10">
        <v>2.681</v>
      </c>
      <c r="Z116" s="10">
        <v>3.66</v>
      </c>
      <c r="AA116" s="10">
        <v>1</v>
      </c>
      <c r="AB116" s="10">
        <v>90.53</v>
      </c>
      <c r="AC116" s="10">
        <v>75.44</v>
      </c>
      <c r="AD116" s="10">
        <v>55.3</v>
      </c>
      <c r="AE116" s="10">
        <v>86.31</v>
      </c>
      <c r="AF116" s="10">
        <v>79.180000000000007</v>
      </c>
      <c r="AG116" s="10">
        <v>55.53</v>
      </c>
      <c r="AH116" s="10">
        <v>13.4</v>
      </c>
      <c r="AI116" s="10">
        <v>0.17</v>
      </c>
      <c r="AJ116" s="10">
        <v>80.73</v>
      </c>
      <c r="AK116" s="11"/>
      <c r="AL116" s="11"/>
      <c r="AM116" s="11"/>
      <c r="AN116" s="11"/>
      <c r="AO116" s="11"/>
      <c r="AP116" s="11"/>
      <c r="AQ116" s="11"/>
      <c r="BB116" s="12"/>
    </row>
    <row r="117" spans="1:54" x14ac:dyDescent="0.35">
      <c r="A117" s="3">
        <v>128</v>
      </c>
      <c r="B117" s="9">
        <v>6</v>
      </c>
      <c r="C117" s="9">
        <v>4</v>
      </c>
      <c r="D117" s="9">
        <v>3</v>
      </c>
      <c r="E117" s="9">
        <v>58</v>
      </c>
      <c r="F117" s="3">
        <v>1175.73</v>
      </c>
      <c r="G117" s="4">
        <f t="shared" si="8"/>
        <v>1.1757299999999999</v>
      </c>
      <c r="H117" s="4">
        <f t="shared" si="14"/>
        <v>62.313689999999994</v>
      </c>
      <c r="I117" s="3">
        <v>53</v>
      </c>
      <c r="J117" s="4">
        <f t="shared" si="9"/>
        <v>2.9529900000000002</v>
      </c>
      <c r="K117" s="5">
        <v>984.33</v>
      </c>
      <c r="L117" s="6">
        <f t="shared" si="15"/>
        <v>0.98433000000000004</v>
      </c>
      <c r="M117" s="5">
        <v>3</v>
      </c>
      <c r="N117" s="4">
        <f t="shared" si="13"/>
        <v>6.1970000000000001</v>
      </c>
      <c r="O117" s="37">
        <v>774.625</v>
      </c>
      <c r="P117" s="38">
        <f t="shared" si="10"/>
        <v>0.77462500000000001</v>
      </c>
      <c r="Q117" s="37">
        <v>8</v>
      </c>
      <c r="R117" s="4">
        <f t="shared" si="11"/>
        <v>4.9349999999999996</v>
      </c>
      <c r="S117" s="7">
        <v>1233.75</v>
      </c>
      <c r="T117" s="8">
        <f t="shared" si="12"/>
        <v>1.2337499999999999</v>
      </c>
      <c r="U117" s="7">
        <v>4</v>
      </c>
      <c r="V117" s="13">
        <v>26.4</v>
      </c>
      <c r="W117" s="10">
        <v>9.8810000000000002</v>
      </c>
      <c r="X117" s="10">
        <v>5.024</v>
      </c>
      <c r="Y117" s="10">
        <v>2.5260000000000002</v>
      </c>
      <c r="Z117" s="10">
        <v>4.83</v>
      </c>
      <c r="AA117" s="10">
        <v>1.01</v>
      </c>
      <c r="AB117" s="10">
        <v>82.1</v>
      </c>
      <c r="AC117" s="10">
        <v>92.64</v>
      </c>
      <c r="AD117" s="10">
        <v>53.37</v>
      </c>
      <c r="AE117" s="10">
        <v>76.98</v>
      </c>
      <c r="AF117" s="10">
        <v>92.38</v>
      </c>
      <c r="AG117" s="10">
        <v>50.48</v>
      </c>
      <c r="AH117" s="10">
        <v>13.6</v>
      </c>
      <c r="AI117" s="10">
        <v>0.2</v>
      </c>
      <c r="AJ117" s="10">
        <v>67.650000000000006</v>
      </c>
      <c r="AK117" s="11"/>
      <c r="AL117" s="11"/>
      <c r="AM117" s="11"/>
      <c r="AN117" s="11"/>
      <c r="AO117" s="11"/>
      <c r="AP117" s="11"/>
      <c r="AQ117" s="11"/>
      <c r="BB117" s="12"/>
    </row>
    <row r="118" spans="1:54" x14ac:dyDescent="0.35">
      <c r="A118" s="3">
        <v>129</v>
      </c>
      <c r="B118" s="9">
        <v>3</v>
      </c>
      <c r="C118" s="9">
        <v>4</v>
      </c>
      <c r="D118" s="9">
        <v>2</v>
      </c>
      <c r="E118" s="9">
        <v>22</v>
      </c>
      <c r="F118" s="3">
        <v>699.66</v>
      </c>
      <c r="G118" s="4">
        <f t="shared" si="8"/>
        <v>0.69965999999999995</v>
      </c>
      <c r="H118" s="4">
        <f t="shared" si="14"/>
        <v>48.276539999999997</v>
      </c>
      <c r="I118" s="3">
        <v>69</v>
      </c>
      <c r="J118" s="4">
        <f t="shared" si="9"/>
        <v>0.90998999999999997</v>
      </c>
      <c r="K118" s="5">
        <v>303.33</v>
      </c>
      <c r="L118" s="6">
        <f t="shared" si="15"/>
        <v>0.30332999999999999</v>
      </c>
      <c r="M118" s="5">
        <v>3</v>
      </c>
      <c r="N118" s="4">
        <f t="shared" si="13"/>
        <v>1.3809899999999999</v>
      </c>
      <c r="O118" s="37">
        <v>460.33</v>
      </c>
      <c r="P118" s="38">
        <f t="shared" si="10"/>
        <v>0.46032999999999996</v>
      </c>
      <c r="Q118" s="37">
        <v>3</v>
      </c>
      <c r="R118" s="4">
        <f t="shared" si="11"/>
        <v>0.34899999999999998</v>
      </c>
      <c r="S118" s="7">
        <v>349</v>
      </c>
      <c r="T118" s="8">
        <f t="shared" si="12"/>
        <v>0.34899999999999998</v>
      </c>
      <c r="U118" s="7">
        <v>1</v>
      </c>
      <c r="V118" s="13">
        <v>20.28</v>
      </c>
      <c r="W118" s="10">
        <v>9.6359999999999992</v>
      </c>
      <c r="X118" s="10">
        <v>4.5020000000000007</v>
      </c>
      <c r="Y118" s="10">
        <v>2.6139999999999999</v>
      </c>
      <c r="Z118" s="10">
        <v>4.75</v>
      </c>
      <c r="AA118" s="10">
        <v>1.29</v>
      </c>
      <c r="AB118" s="10">
        <v>69.819999999999993</v>
      </c>
      <c r="AC118" s="10">
        <v>94.94</v>
      </c>
      <c r="AD118" s="10">
        <v>45.92</v>
      </c>
      <c r="AE118" s="10">
        <v>65.989999999999995</v>
      </c>
      <c r="AF118" s="10">
        <v>91.3</v>
      </c>
      <c r="AG118" s="10">
        <v>43.32</v>
      </c>
      <c r="AH118" s="10">
        <v>15.3</v>
      </c>
      <c r="AI118" s="10">
        <v>0.18</v>
      </c>
      <c r="AJ118" s="10">
        <v>85.11</v>
      </c>
      <c r="AK118" s="11"/>
      <c r="AL118" s="11"/>
      <c r="AM118" s="11"/>
      <c r="AN118" s="11"/>
      <c r="AO118" s="11"/>
      <c r="AP118" s="11"/>
      <c r="AQ118" s="11"/>
      <c r="BB118" s="12"/>
    </row>
    <row r="119" spans="1:54" x14ac:dyDescent="0.35">
      <c r="A119" s="3">
        <v>130</v>
      </c>
      <c r="B119" s="9">
        <v>5</v>
      </c>
      <c r="C119" s="9">
        <v>4</v>
      </c>
      <c r="D119" s="9">
        <v>9</v>
      </c>
      <c r="E119" s="9">
        <v>56</v>
      </c>
      <c r="F119" s="3">
        <v>987.2</v>
      </c>
      <c r="G119" s="4">
        <f t="shared" si="8"/>
        <v>0.98720000000000008</v>
      </c>
      <c r="H119" s="4">
        <f t="shared" si="14"/>
        <v>53.308800000000005</v>
      </c>
      <c r="I119" s="3">
        <v>54</v>
      </c>
      <c r="J119" s="4">
        <f t="shared" si="9"/>
        <v>0.93498000000000014</v>
      </c>
      <c r="K119" s="5">
        <v>311.66000000000003</v>
      </c>
      <c r="L119" s="6">
        <f t="shared" si="15"/>
        <v>0.31166000000000005</v>
      </c>
      <c r="M119" s="5">
        <v>3</v>
      </c>
      <c r="N119" s="4">
        <f t="shared" si="13"/>
        <v>1.234</v>
      </c>
      <c r="O119" s="37">
        <v>617</v>
      </c>
      <c r="P119" s="38">
        <f t="shared" si="10"/>
        <v>0.61699999999999999</v>
      </c>
      <c r="Q119" s="37">
        <v>2</v>
      </c>
      <c r="R119" s="4">
        <f t="shared" si="11"/>
        <v>0</v>
      </c>
      <c r="S119" s="7">
        <v>0</v>
      </c>
      <c r="T119" s="8">
        <f t="shared" si="12"/>
        <v>0</v>
      </c>
      <c r="U119" s="7">
        <v>0</v>
      </c>
      <c r="V119" s="13">
        <v>25.06</v>
      </c>
      <c r="W119" s="10">
        <v>10.09</v>
      </c>
      <c r="X119" s="10">
        <v>4.556</v>
      </c>
      <c r="Y119" s="10">
        <v>2.6819999999999999</v>
      </c>
      <c r="Z119" s="10">
        <v>4.16</v>
      </c>
      <c r="AA119" s="10">
        <v>0.96</v>
      </c>
      <c r="AB119" s="10">
        <v>77.73</v>
      </c>
      <c r="AC119" s="10">
        <v>87.71</v>
      </c>
      <c r="AD119" s="10">
        <v>49.96</v>
      </c>
      <c r="AE119" s="10">
        <v>70.489999999999995</v>
      </c>
      <c r="AF119" s="10">
        <v>91.94</v>
      </c>
      <c r="AG119" s="10">
        <v>45.61</v>
      </c>
      <c r="AH119" s="10">
        <v>13.7</v>
      </c>
      <c r="AI119" s="10">
        <v>0.16</v>
      </c>
      <c r="AJ119" s="10">
        <v>86.88</v>
      </c>
      <c r="AK119" s="11"/>
      <c r="AL119" s="11"/>
      <c r="AM119" s="11"/>
      <c r="AN119" s="11"/>
      <c r="AO119" s="11"/>
      <c r="AP119" s="11"/>
      <c r="AQ119" s="11"/>
      <c r="BB119" s="12"/>
    </row>
    <row r="120" spans="1:54" x14ac:dyDescent="0.35">
      <c r="A120" s="3">
        <v>131</v>
      </c>
      <c r="B120" s="9">
        <v>3</v>
      </c>
      <c r="C120" s="9">
        <v>4</v>
      </c>
      <c r="D120" s="9">
        <v>1</v>
      </c>
      <c r="E120" s="9">
        <v>22</v>
      </c>
      <c r="F120" s="3">
        <v>1064.18</v>
      </c>
      <c r="G120" s="4">
        <f t="shared" si="8"/>
        <v>1.0641800000000001</v>
      </c>
      <c r="H120" s="4">
        <f t="shared" si="14"/>
        <v>40.438840000000006</v>
      </c>
      <c r="I120" s="3">
        <v>38</v>
      </c>
      <c r="J120" s="4">
        <f t="shared" si="9"/>
        <v>1.4679899999999999</v>
      </c>
      <c r="K120" s="5">
        <v>489.33</v>
      </c>
      <c r="L120" s="6">
        <f t="shared" si="15"/>
        <v>0.48932999999999999</v>
      </c>
      <c r="M120" s="5">
        <v>3</v>
      </c>
      <c r="N120" s="4">
        <f t="shared" si="13"/>
        <v>0.91500000000000004</v>
      </c>
      <c r="O120" s="37">
        <v>915</v>
      </c>
      <c r="P120" s="38">
        <f t="shared" si="10"/>
        <v>0.91500000000000004</v>
      </c>
      <c r="Q120" s="37">
        <v>1</v>
      </c>
      <c r="R120" s="4">
        <f t="shared" si="11"/>
        <v>0</v>
      </c>
      <c r="S120" s="7">
        <v>0</v>
      </c>
      <c r="T120" s="8">
        <f t="shared" si="12"/>
        <v>0</v>
      </c>
      <c r="U120" s="7">
        <v>0</v>
      </c>
      <c r="V120" s="13">
        <v>23.46</v>
      </c>
      <c r="W120" s="10">
        <v>9.4420000000000002</v>
      </c>
      <c r="X120" s="10">
        <v>3.7119999999999997</v>
      </c>
      <c r="Y120" s="10">
        <v>3.028</v>
      </c>
      <c r="Z120" s="10">
        <v>4.22</v>
      </c>
      <c r="AA120" s="10">
        <v>1.02</v>
      </c>
      <c r="AB120" s="10">
        <v>82.33</v>
      </c>
      <c r="AC120" s="10">
        <v>88.7</v>
      </c>
      <c r="AD120" s="10">
        <v>52.69</v>
      </c>
      <c r="AE120" s="10">
        <v>73.2</v>
      </c>
      <c r="AF120" s="10">
        <v>100.06</v>
      </c>
      <c r="AG120" s="10">
        <v>48.66</v>
      </c>
      <c r="AH120" s="10">
        <v>13.6</v>
      </c>
      <c r="AI120" s="10">
        <v>0.17</v>
      </c>
      <c r="AJ120" s="10">
        <v>79.989999999999995</v>
      </c>
      <c r="AK120" s="11"/>
      <c r="AL120" s="11"/>
      <c r="AM120" s="11"/>
      <c r="AN120" s="11"/>
      <c r="AO120" s="11"/>
      <c r="AP120" s="11"/>
      <c r="AQ120" s="11"/>
      <c r="BB120" s="12"/>
    </row>
    <row r="121" spans="1:54" x14ac:dyDescent="0.35">
      <c r="A121" s="3">
        <v>132</v>
      </c>
      <c r="B121" s="9">
        <v>1</v>
      </c>
      <c r="C121" s="9">
        <v>4</v>
      </c>
      <c r="D121" s="9">
        <v>9</v>
      </c>
      <c r="E121" s="9">
        <v>4</v>
      </c>
      <c r="F121" s="3">
        <v>787.96</v>
      </c>
      <c r="G121" s="4">
        <f t="shared" si="8"/>
        <v>0.78795999999999999</v>
      </c>
      <c r="H121" s="4">
        <f t="shared" si="14"/>
        <v>25.21472</v>
      </c>
      <c r="I121" s="3">
        <v>32</v>
      </c>
      <c r="J121" s="4">
        <f t="shared" si="9"/>
        <v>1.0349999999999999</v>
      </c>
      <c r="K121" s="7">
        <v>345</v>
      </c>
      <c r="L121" s="8">
        <f t="shared" si="15"/>
        <v>0.34499999999999997</v>
      </c>
      <c r="M121" s="7">
        <v>3</v>
      </c>
      <c r="N121" s="4">
        <f t="shared" si="13"/>
        <v>0</v>
      </c>
      <c r="O121" s="37">
        <v>0</v>
      </c>
      <c r="P121" s="38">
        <f t="shared" si="10"/>
        <v>0</v>
      </c>
      <c r="Q121" s="37">
        <v>0</v>
      </c>
      <c r="R121" s="4">
        <f t="shared" si="11"/>
        <v>0</v>
      </c>
      <c r="S121" s="7">
        <v>0</v>
      </c>
      <c r="T121" s="8">
        <f t="shared" si="12"/>
        <v>0</v>
      </c>
      <c r="U121" s="7">
        <v>0</v>
      </c>
      <c r="V121" s="13">
        <v>22.38</v>
      </c>
      <c r="W121" s="10">
        <v>8.0609999999999999</v>
      </c>
      <c r="X121" s="10">
        <v>3.7329999999999997</v>
      </c>
      <c r="Y121" s="10">
        <v>2.609</v>
      </c>
      <c r="Z121" s="10">
        <v>3.13</v>
      </c>
      <c r="AA121" s="10">
        <v>0.84</v>
      </c>
      <c r="AB121" s="10">
        <v>75.48</v>
      </c>
      <c r="AC121" s="10">
        <v>90.7</v>
      </c>
      <c r="AD121" s="10">
        <v>49.05</v>
      </c>
      <c r="AE121" s="10">
        <v>66.47</v>
      </c>
      <c r="AF121" s="10">
        <v>91.08</v>
      </c>
      <c r="AG121" s="10">
        <v>43.34</v>
      </c>
      <c r="AH121" s="10">
        <v>14.7</v>
      </c>
      <c r="AI121" s="10">
        <v>0.18</v>
      </c>
      <c r="AJ121" s="10">
        <v>80.459999999999994</v>
      </c>
      <c r="AK121" s="11"/>
      <c r="AL121" s="11"/>
      <c r="AM121" s="11"/>
      <c r="AN121" s="11"/>
      <c r="AO121" s="11"/>
      <c r="AP121" s="11"/>
      <c r="AQ121" s="11"/>
      <c r="BB121" s="12"/>
    </row>
    <row r="122" spans="1:54" x14ac:dyDescent="0.35">
      <c r="A122" s="3">
        <v>133</v>
      </c>
      <c r="B122" s="3">
        <v>5</v>
      </c>
      <c r="C122" s="3">
        <v>6</v>
      </c>
      <c r="D122" s="3">
        <v>3</v>
      </c>
      <c r="E122" s="3">
        <v>49</v>
      </c>
      <c r="F122" s="3">
        <v>1247.76</v>
      </c>
      <c r="G122" s="4">
        <f t="shared" si="8"/>
        <v>1.24776</v>
      </c>
      <c r="H122" s="4">
        <f t="shared" si="14"/>
        <v>112.2984</v>
      </c>
      <c r="I122" s="3">
        <v>90</v>
      </c>
      <c r="J122" s="4">
        <f t="shared" si="9"/>
        <v>0.86</v>
      </c>
      <c r="K122" s="5">
        <v>430</v>
      </c>
      <c r="L122" s="6">
        <f t="shared" si="15"/>
        <v>0.43</v>
      </c>
      <c r="M122" s="5">
        <v>2</v>
      </c>
      <c r="N122" s="4">
        <f t="shared" si="13"/>
        <v>6.1589999999999998</v>
      </c>
      <c r="O122" s="37">
        <v>1539.75</v>
      </c>
      <c r="P122" s="38">
        <f t="shared" si="10"/>
        <v>1.53975</v>
      </c>
      <c r="Q122" s="37">
        <v>4</v>
      </c>
      <c r="R122" s="4">
        <f t="shared" si="11"/>
        <v>2.4900000000000002</v>
      </c>
      <c r="S122" s="7">
        <v>1245</v>
      </c>
      <c r="T122" s="8">
        <f t="shared" si="12"/>
        <v>1.2450000000000001</v>
      </c>
      <c r="U122" s="7">
        <v>2</v>
      </c>
      <c r="V122" s="13">
        <v>24.1</v>
      </c>
      <c r="W122" s="10">
        <v>10.917</v>
      </c>
      <c r="X122" s="10">
        <v>5.0600000000000005</v>
      </c>
      <c r="Y122" s="10">
        <v>2.806</v>
      </c>
      <c r="Z122" s="10">
        <v>2.94</v>
      </c>
      <c r="AA122" s="10">
        <v>0.6</v>
      </c>
      <c r="AB122" s="10">
        <v>74.260000000000005</v>
      </c>
      <c r="AC122" s="10">
        <v>81.760000000000005</v>
      </c>
      <c r="AD122" s="10">
        <v>56.61</v>
      </c>
      <c r="AE122" s="10">
        <v>69.75</v>
      </c>
      <c r="AF122" s="10">
        <v>72.12</v>
      </c>
      <c r="AG122" s="10">
        <v>43.1</v>
      </c>
      <c r="AH122" s="10">
        <v>13</v>
      </c>
      <c r="AI122" s="24">
        <v>0.13</v>
      </c>
      <c r="AJ122" s="10">
        <v>103.9</v>
      </c>
      <c r="BB122" s="12"/>
    </row>
    <row r="123" spans="1:54" x14ac:dyDescent="0.35">
      <c r="A123" s="3">
        <v>134</v>
      </c>
      <c r="B123" s="3">
        <v>5</v>
      </c>
      <c r="C123" s="3">
        <v>6</v>
      </c>
      <c r="D123" s="3">
        <v>8</v>
      </c>
      <c r="E123" s="3">
        <v>49</v>
      </c>
      <c r="F123" s="3">
        <v>1169.5</v>
      </c>
      <c r="G123" s="4">
        <f t="shared" si="8"/>
        <v>1.1695</v>
      </c>
      <c r="H123" s="4">
        <f t="shared" si="14"/>
        <v>99.407499999999999</v>
      </c>
      <c r="I123" s="3">
        <v>85</v>
      </c>
      <c r="J123" s="4">
        <f t="shared" si="9"/>
        <v>1.002</v>
      </c>
      <c r="K123" s="5">
        <v>501</v>
      </c>
      <c r="L123" s="6">
        <f t="shared" si="15"/>
        <v>0.501</v>
      </c>
      <c r="M123" s="5">
        <v>2</v>
      </c>
      <c r="N123" s="4">
        <f t="shared" si="13"/>
        <v>2.31</v>
      </c>
      <c r="O123" s="37">
        <v>770</v>
      </c>
      <c r="P123" s="38">
        <f t="shared" si="10"/>
        <v>0.77</v>
      </c>
      <c r="Q123" s="37">
        <v>3</v>
      </c>
      <c r="R123" s="4">
        <f t="shared" si="11"/>
        <v>2.907</v>
      </c>
      <c r="S123" s="7">
        <v>1453.5</v>
      </c>
      <c r="T123" s="8">
        <f t="shared" si="12"/>
        <v>1.4535</v>
      </c>
      <c r="U123" s="7">
        <v>2</v>
      </c>
      <c r="V123" s="13">
        <v>22.78</v>
      </c>
      <c r="W123" s="10">
        <v>9.8840000000000003</v>
      </c>
      <c r="X123" s="10">
        <v>3.7509999999999999</v>
      </c>
      <c r="Y123" s="10">
        <v>2.9510000000000001</v>
      </c>
      <c r="Z123" s="10">
        <v>3.59</v>
      </c>
      <c r="AA123" s="10">
        <v>1.1100000000000001</v>
      </c>
      <c r="AB123" s="10">
        <v>84.8</v>
      </c>
      <c r="AC123" s="10">
        <v>88.46</v>
      </c>
      <c r="AD123" s="10">
        <v>51.6</v>
      </c>
      <c r="AE123" s="10">
        <v>73.22</v>
      </c>
      <c r="AF123" s="10">
        <v>85.25</v>
      </c>
      <c r="AG123" s="10">
        <v>46.7</v>
      </c>
      <c r="AH123" s="10">
        <v>12.5</v>
      </c>
      <c r="AI123" s="26" t="s">
        <v>39</v>
      </c>
      <c r="AJ123" s="10">
        <v>73.959999999999994</v>
      </c>
      <c r="BB123" s="12"/>
    </row>
    <row r="124" spans="1:54" x14ac:dyDescent="0.35">
      <c r="A124" s="3">
        <v>135</v>
      </c>
      <c r="B124" s="3">
        <v>3</v>
      </c>
      <c r="C124" s="3">
        <v>6</v>
      </c>
      <c r="D124" s="3">
        <v>2</v>
      </c>
      <c r="E124" s="3">
        <v>31</v>
      </c>
      <c r="F124" s="3">
        <v>1434.19</v>
      </c>
      <c r="G124" s="4">
        <f t="shared" si="8"/>
        <v>1.4341900000000001</v>
      </c>
      <c r="H124" s="4">
        <f t="shared" si="14"/>
        <v>87.485590000000002</v>
      </c>
      <c r="I124" s="3">
        <v>61</v>
      </c>
      <c r="J124" s="4">
        <f t="shared" si="9"/>
        <v>3.3679999999999999</v>
      </c>
      <c r="K124" s="5">
        <v>842</v>
      </c>
      <c r="L124" s="6">
        <f t="shared" si="15"/>
        <v>0.84199999999999997</v>
      </c>
      <c r="M124" s="5">
        <v>4</v>
      </c>
      <c r="N124" s="4">
        <f t="shared" si="13"/>
        <v>2.58</v>
      </c>
      <c r="O124" s="37">
        <v>2580</v>
      </c>
      <c r="P124" s="38">
        <f t="shared" si="10"/>
        <v>2.58</v>
      </c>
      <c r="Q124" s="37">
        <v>1</v>
      </c>
      <c r="R124" s="4">
        <f t="shared" si="11"/>
        <v>0</v>
      </c>
      <c r="S124" s="7">
        <v>0</v>
      </c>
      <c r="T124" s="8">
        <f t="shared" si="12"/>
        <v>0</v>
      </c>
      <c r="U124" s="7">
        <v>0</v>
      </c>
      <c r="V124" s="13">
        <v>27.2</v>
      </c>
      <c r="W124" s="10">
        <v>11.686</v>
      </c>
      <c r="X124" s="10">
        <v>5.8810000000000002</v>
      </c>
      <c r="Y124" s="10">
        <v>2.7949999999999999</v>
      </c>
      <c r="Z124" s="10">
        <v>3.3</v>
      </c>
      <c r="AA124" s="10">
        <v>1.1399999999999999</v>
      </c>
      <c r="AB124" s="10">
        <v>72</v>
      </c>
      <c r="AC124" s="10">
        <v>85.63</v>
      </c>
      <c r="AD124" s="10">
        <v>46.54</v>
      </c>
      <c r="AE124" s="10">
        <v>68.349999999999994</v>
      </c>
      <c r="AF124" s="10">
        <v>88.63</v>
      </c>
      <c r="AG124" s="10">
        <v>44.51</v>
      </c>
      <c r="AH124" s="10">
        <v>13.1</v>
      </c>
      <c r="AI124" s="10">
        <v>0.16</v>
      </c>
      <c r="AJ124" s="10">
        <v>81.81</v>
      </c>
      <c r="BB124" s="12"/>
    </row>
    <row r="125" spans="1:54" x14ac:dyDescent="0.35">
      <c r="A125" s="3">
        <v>136</v>
      </c>
      <c r="B125" s="3">
        <v>6</v>
      </c>
      <c r="C125" s="3">
        <v>6</v>
      </c>
      <c r="D125" s="3">
        <v>1</v>
      </c>
      <c r="E125" s="3">
        <v>69</v>
      </c>
      <c r="F125" s="3">
        <v>1568.75</v>
      </c>
      <c r="G125" s="4">
        <f t="shared" si="8"/>
        <v>1.5687500000000001</v>
      </c>
      <c r="H125" s="4">
        <f t="shared" si="14"/>
        <v>70.59375</v>
      </c>
      <c r="I125" s="3">
        <v>45</v>
      </c>
      <c r="J125" s="4">
        <f t="shared" si="9"/>
        <v>2.17</v>
      </c>
      <c r="K125" s="5">
        <v>2170</v>
      </c>
      <c r="L125" s="6">
        <f t="shared" si="15"/>
        <v>2.17</v>
      </c>
      <c r="M125" s="5">
        <v>1</v>
      </c>
      <c r="N125" s="4">
        <f t="shared" si="13"/>
        <v>2.2080000000000002</v>
      </c>
      <c r="O125" s="37">
        <v>2208</v>
      </c>
      <c r="P125" s="38">
        <f t="shared" si="10"/>
        <v>2.2080000000000002</v>
      </c>
      <c r="Q125" s="37">
        <v>1</v>
      </c>
      <c r="R125" s="4">
        <f t="shared" si="11"/>
        <v>4.7930000000000001</v>
      </c>
      <c r="S125" s="7">
        <v>2396.5</v>
      </c>
      <c r="T125" s="8">
        <f t="shared" si="12"/>
        <v>2.3965000000000001</v>
      </c>
      <c r="U125" s="7">
        <v>2</v>
      </c>
      <c r="V125" s="13">
        <v>26.27</v>
      </c>
      <c r="W125" s="10">
        <v>9.7050000000000001</v>
      </c>
      <c r="X125" s="10">
        <v>4.8070000000000004</v>
      </c>
      <c r="Y125" s="10">
        <v>2.6429999999999998</v>
      </c>
      <c r="Z125" s="10">
        <v>4.0999999999999996</v>
      </c>
      <c r="AA125" s="10">
        <v>1.08</v>
      </c>
      <c r="AB125" s="10">
        <v>69.34</v>
      </c>
      <c r="AC125" s="10">
        <v>54.88</v>
      </c>
      <c r="AD125" s="10">
        <v>43.56</v>
      </c>
      <c r="AE125" s="10">
        <v>61.41</v>
      </c>
      <c r="AF125" s="10">
        <v>71.5</v>
      </c>
      <c r="AG125" s="10">
        <v>40.369999999999997</v>
      </c>
      <c r="AH125" s="10">
        <v>12.9</v>
      </c>
      <c r="AI125" s="10">
        <v>0.16</v>
      </c>
      <c r="AJ125" s="10">
        <v>80.42</v>
      </c>
      <c r="BB125" s="12"/>
    </row>
    <row r="126" spans="1:54" x14ac:dyDescent="0.35">
      <c r="A126" s="3">
        <v>137</v>
      </c>
      <c r="B126" s="3">
        <v>5</v>
      </c>
      <c r="C126" s="3">
        <v>6</v>
      </c>
      <c r="D126" s="3">
        <v>6</v>
      </c>
      <c r="E126" s="3">
        <v>49</v>
      </c>
      <c r="F126" s="3">
        <v>1628.73</v>
      </c>
      <c r="G126" s="4">
        <f t="shared" si="8"/>
        <v>1.62873</v>
      </c>
      <c r="H126" s="4">
        <f t="shared" si="14"/>
        <v>55.376820000000002</v>
      </c>
      <c r="I126" s="3">
        <v>34</v>
      </c>
      <c r="J126" s="4">
        <f t="shared" si="9"/>
        <v>0</v>
      </c>
      <c r="K126" s="5">
        <v>0</v>
      </c>
      <c r="L126" s="6">
        <f t="shared" si="15"/>
        <v>0</v>
      </c>
      <c r="M126" s="5">
        <v>0</v>
      </c>
      <c r="N126" s="4">
        <f t="shared" si="13"/>
        <v>5.2060000000000004</v>
      </c>
      <c r="O126" s="37">
        <v>1301.5</v>
      </c>
      <c r="P126" s="38">
        <f t="shared" si="10"/>
        <v>1.3015000000000001</v>
      </c>
      <c r="Q126" s="37">
        <v>4</v>
      </c>
      <c r="R126" s="4">
        <f t="shared" si="11"/>
        <v>6.3199799999999993</v>
      </c>
      <c r="S126" s="7">
        <v>2106.66</v>
      </c>
      <c r="T126" s="8">
        <f t="shared" si="12"/>
        <v>2.1066599999999998</v>
      </c>
      <c r="U126" s="7">
        <v>3</v>
      </c>
      <c r="V126" s="13">
        <v>27.1</v>
      </c>
      <c r="W126" s="10">
        <v>10.872</v>
      </c>
      <c r="X126" s="10">
        <v>4.9009999999999998</v>
      </c>
      <c r="Y126" s="10">
        <v>2.903</v>
      </c>
      <c r="Z126" s="10">
        <v>4.72</v>
      </c>
      <c r="AA126" s="10">
        <v>1.1299999999999999</v>
      </c>
      <c r="AB126" s="10">
        <v>87.05</v>
      </c>
      <c r="AC126" s="10">
        <v>85.4</v>
      </c>
      <c r="AD126" s="10">
        <v>52.47</v>
      </c>
      <c r="AE126" s="10">
        <v>67.58</v>
      </c>
      <c r="AF126" s="10">
        <v>85.82</v>
      </c>
      <c r="AG126" s="10">
        <v>45.18</v>
      </c>
      <c r="AH126" s="10">
        <v>12.4</v>
      </c>
      <c r="AI126" s="10">
        <v>0.15</v>
      </c>
      <c r="AJ126" s="10">
        <v>82.41</v>
      </c>
      <c r="BB126" s="12"/>
    </row>
    <row r="127" spans="1:54" x14ac:dyDescent="0.35">
      <c r="A127" s="3">
        <v>138</v>
      </c>
      <c r="B127" s="3">
        <v>4</v>
      </c>
      <c r="C127" s="3">
        <v>6</v>
      </c>
      <c r="D127" s="3">
        <v>2</v>
      </c>
      <c r="E127" s="3">
        <v>44</v>
      </c>
      <c r="F127" s="3">
        <v>1737.27</v>
      </c>
      <c r="G127" s="4">
        <f t="shared" si="8"/>
        <v>1.7372700000000001</v>
      </c>
      <c r="H127" s="4">
        <f t="shared" si="14"/>
        <v>121.60890000000001</v>
      </c>
      <c r="I127" s="3">
        <v>70</v>
      </c>
      <c r="J127" s="4">
        <f t="shared" si="9"/>
        <v>2.7210000000000001</v>
      </c>
      <c r="K127" s="5">
        <v>907</v>
      </c>
      <c r="L127" s="6">
        <f t="shared" si="15"/>
        <v>0.90700000000000003</v>
      </c>
      <c r="M127" s="5">
        <v>3</v>
      </c>
      <c r="N127" s="4">
        <f t="shared" si="13"/>
        <v>3.6320000000000001</v>
      </c>
      <c r="O127" s="37">
        <v>1816</v>
      </c>
      <c r="P127" s="38">
        <f t="shared" si="10"/>
        <v>1.8160000000000001</v>
      </c>
      <c r="Q127" s="37">
        <v>2</v>
      </c>
      <c r="R127" s="4">
        <f t="shared" si="11"/>
        <v>2.448</v>
      </c>
      <c r="S127" s="7">
        <v>2448</v>
      </c>
      <c r="T127" s="8">
        <f t="shared" si="12"/>
        <v>2.448</v>
      </c>
      <c r="U127" s="7">
        <v>1</v>
      </c>
      <c r="V127" s="13">
        <v>26.28</v>
      </c>
      <c r="W127" s="10">
        <v>11.574</v>
      </c>
      <c r="X127" s="10">
        <v>5.1520000000000001</v>
      </c>
      <c r="Y127" s="10">
        <v>3.3609999999999998</v>
      </c>
      <c r="Z127" s="10">
        <v>6.09</v>
      </c>
      <c r="AA127" s="10">
        <v>1.29</v>
      </c>
      <c r="AB127" s="10">
        <v>73.61</v>
      </c>
      <c r="AC127" s="10">
        <v>82.84</v>
      </c>
      <c r="AD127" s="10">
        <v>47.41</v>
      </c>
      <c r="AE127" s="10">
        <v>75.17</v>
      </c>
      <c r="AF127" s="10">
        <v>86.33</v>
      </c>
      <c r="AG127" s="10">
        <v>48.91</v>
      </c>
      <c r="AH127" s="10">
        <v>12.1</v>
      </c>
      <c r="AI127" s="10">
        <v>0.18</v>
      </c>
      <c r="AJ127" s="10">
        <v>67.209999999999994</v>
      </c>
      <c r="BB127" s="12"/>
    </row>
    <row r="128" spans="1:54" x14ac:dyDescent="0.35">
      <c r="A128" s="3" t="s">
        <v>10</v>
      </c>
      <c r="B128" s="3">
        <v>1</v>
      </c>
      <c r="C128" s="3">
        <v>6</v>
      </c>
      <c r="D128" s="3">
        <v>10</v>
      </c>
      <c r="E128" s="3">
        <v>6</v>
      </c>
      <c r="F128" s="3">
        <v>1131.0899999999999</v>
      </c>
      <c r="G128" s="4">
        <f t="shared" si="8"/>
        <v>1.1310899999999999</v>
      </c>
      <c r="H128" s="4">
        <f t="shared" si="14"/>
        <v>46.374689999999994</v>
      </c>
      <c r="I128" s="3">
        <v>41</v>
      </c>
      <c r="J128" s="4">
        <f t="shared" si="9"/>
        <v>2.5610000000000004</v>
      </c>
      <c r="K128" s="5">
        <v>512.20000000000005</v>
      </c>
      <c r="L128" s="6">
        <f t="shared" si="15"/>
        <v>0.5122000000000001</v>
      </c>
      <c r="M128" s="5">
        <v>5</v>
      </c>
      <c r="N128" s="4">
        <f t="shared" si="13"/>
        <v>0</v>
      </c>
      <c r="O128" s="37">
        <v>0</v>
      </c>
      <c r="P128" s="38">
        <f t="shared" si="10"/>
        <v>0</v>
      </c>
      <c r="Q128" s="37">
        <v>0</v>
      </c>
      <c r="R128" s="4">
        <f t="shared" si="11"/>
        <v>3.4609999999999999</v>
      </c>
      <c r="S128" s="7">
        <v>1730.5</v>
      </c>
      <c r="T128" s="8">
        <f t="shared" si="12"/>
        <v>1.7304999999999999</v>
      </c>
      <c r="U128" s="7">
        <v>2</v>
      </c>
      <c r="V128" s="13">
        <v>23.28</v>
      </c>
      <c r="W128" s="10">
        <v>9.1329999999999991</v>
      </c>
      <c r="X128" s="10">
        <v>3.851</v>
      </c>
      <c r="Y128" s="10">
        <v>2.6670000000000003</v>
      </c>
      <c r="Z128" s="10">
        <v>6.18</v>
      </c>
      <c r="AA128" s="10">
        <v>1.41</v>
      </c>
      <c r="AB128" s="10">
        <v>70.239999999999995</v>
      </c>
      <c r="AC128" s="10">
        <v>72.11</v>
      </c>
      <c r="AD128" s="10">
        <v>45.9</v>
      </c>
      <c r="AE128" s="10">
        <v>64.63</v>
      </c>
      <c r="AF128" s="10">
        <v>82.43</v>
      </c>
      <c r="AG128" s="10">
        <v>42.38</v>
      </c>
      <c r="AH128" s="10">
        <v>14.3</v>
      </c>
      <c r="AI128" s="10">
        <v>0.16</v>
      </c>
      <c r="AJ128" s="10">
        <v>91.59</v>
      </c>
      <c r="BB128" s="12"/>
    </row>
    <row r="129" spans="1:54" x14ac:dyDescent="0.35">
      <c r="A129" s="3">
        <v>139</v>
      </c>
      <c r="B129" s="3">
        <v>1</v>
      </c>
      <c r="C129" s="3">
        <v>6</v>
      </c>
      <c r="D129" s="3">
        <v>3</v>
      </c>
      <c r="E129" s="3">
        <v>6</v>
      </c>
      <c r="F129" s="3">
        <v>1175.5</v>
      </c>
      <c r="G129" s="4">
        <f t="shared" si="8"/>
        <v>1.1755</v>
      </c>
      <c r="H129" s="4">
        <f t="shared" si="14"/>
        <v>32.914000000000001</v>
      </c>
      <c r="I129" s="3">
        <v>28</v>
      </c>
      <c r="J129" s="4">
        <f t="shared" si="9"/>
        <v>0</v>
      </c>
      <c r="K129" s="5">
        <v>0</v>
      </c>
      <c r="L129" s="6">
        <f t="shared" si="15"/>
        <v>0</v>
      </c>
      <c r="M129" s="5">
        <v>0</v>
      </c>
      <c r="N129" s="4">
        <f t="shared" si="13"/>
        <v>6.49</v>
      </c>
      <c r="O129" s="37">
        <v>1622.5</v>
      </c>
      <c r="P129" s="38">
        <f t="shared" si="10"/>
        <v>1.6225000000000001</v>
      </c>
      <c r="Q129" s="37">
        <v>4</v>
      </c>
      <c r="R129" s="4">
        <f t="shared" si="11"/>
        <v>2.4319999999999999</v>
      </c>
      <c r="S129" s="7">
        <v>2432</v>
      </c>
      <c r="T129" s="8">
        <f t="shared" si="12"/>
        <v>2.4319999999999999</v>
      </c>
      <c r="U129" s="7">
        <v>1</v>
      </c>
      <c r="V129" s="13">
        <v>27.8</v>
      </c>
      <c r="W129" s="10">
        <v>11.7</v>
      </c>
      <c r="X129" s="10">
        <v>5.8860000000000001</v>
      </c>
      <c r="Y129" s="10">
        <v>2.9449999999999998</v>
      </c>
      <c r="Z129" s="10">
        <v>4.37</v>
      </c>
      <c r="AA129" s="10">
        <v>1.19</v>
      </c>
      <c r="AB129" s="10">
        <v>74.180000000000007</v>
      </c>
      <c r="AC129" s="10">
        <v>92.1</v>
      </c>
      <c r="AD129" s="10">
        <v>44.93</v>
      </c>
      <c r="AE129" s="10">
        <v>64.55</v>
      </c>
      <c r="AF129" s="10">
        <v>84.93</v>
      </c>
      <c r="AG129" s="10">
        <v>41.9</v>
      </c>
      <c r="AH129" s="10">
        <v>13.36</v>
      </c>
      <c r="AI129" s="10">
        <v>0.17</v>
      </c>
      <c r="AJ129" s="10">
        <v>78.58</v>
      </c>
      <c r="BB129" s="12"/>
    </row>
    <row r="130" spans="1:54" x14ac:dyDescent="0.35">
      <c r="A130" s="3">
        <v>140</v>
      </c>
      <c r="B130" s="3">
        <v>10</v>
      </c>
      <c r="C130" s="3">
        <v>6</v>
      </c>
      <c r="D130" s="3">
        <v>2</v>
      </c>
      <c r="E130" s="3">
        <v>96</v>
      </c>
      <c r="F130" s="3">
        <v>1805.6</v>
      </c>
      <c r="G130" s="4">
        <f t="shared" si="8"/>
        <v>1.8055999999999999</v>
      </c>
      <c r="H130" s="4">
        <f t="shared" si="14"/>
        <v>81.251999999999995</v>
      </c>
      <c r="I130" s="3">
        <v>45</v>
      </c>
      <c r="J130" s="4">
        <f t="shared" si="9"/>
        <v>1.9650000000000001</v>
      </c>
      <c r="K130" s="5">
        <v>982.5</v>
      </c>
      <c r="L130" s="6">
        <f t="shared" si="15"/>
        <v>0.98250000000000004</v>
      </c>
      <c r="M130" s="5">
        <v>2</v>
      </c>
      <c r="N130" s="4">
        <f t="shared" si="13"/>
        <v>3.12</v>
      </c>
      <c r="O130" s="37">
        <v>1560</v>
      </c>
      <c r="P130" s="38">
        <f t="shared" si="10"/>
        <v>1.56</v>
      </c>
      <c r="Q130" s="37">
        <v>2</v>
      </c>
      <c r="R130" s="4">
        <f t="shared" si="11"/>
        <v>3.0329999999999999</v>
      </c>
      <c r="S130" s="7">
        <v>1516.5</v>
      </c>
      <c r="T130" s="8">
        <f t="shared" si="12"/>
        <v>1.5165</v>
      </c>
      <c r="U130" s="7">
        <v>2</v>
      </c>
      <c r="V130" s="13">
        <v>28.32</v>
      </c>
      <c r="W130" s="10">
        <v>9.8379999999999992</v>
      </c>
      <c r="X130" s="10">
        <v>4.274</v>
      </c>
      <c r="Y130" s="10">
        <v>3.052</v>
      </c>
      <c r="Z130" s="10">
        <v>6.82</v>
      </c>
      <c r="AA130" s="10">
        <v>1.3</v>
      </c>
      <c r="AB130" s="10">
        <v>56.62</v>
      </c>
      <c r="AC130" s="10">
        <v>61.51</v>
      </c>
      <c r="AD130" s="10">
        <v>37.11</v>
      </c>
      <c r="AE130" s="10">
        <v>50.49</v>
      </c>
      <c r="AF130" s="10">
        <v>68.88</v>
      </c>
      <c r="AG130" s="10">
        <v>32.99</v>
      </c>
      <c r="AH130" s="10">
        <v>13.6</v>
      </c>
      <c r="AI130" s="10">
        <v>0.16</v>
      </c>
      <c r="AJ130" s="10">
        <v>83.43</v>
      </c>
      <c r="BB130" s="12"/>
    </row>
    <row r="131" spans="1:54" x14ac:dyDescent="0.35">
      <c r="A131" s="3">
        <v>141</v>
      </c>
      <c r="B131" s="3">
        <v>6</v>
      </c>
      <c r="C131" s="3">
        <v>6</v>
      </c>
      <c r="D131" s="3">
        <v>4</v>
      </c>
      <c r="E131" s="3">
        <v>69</v>
      </c>
      <c r="F131" s="3">
        <v>1256.26</v>
      </c>
      <c r="G131" s="4">
        <f t="shared" ref="G131:G151" si="16">F131/1000</f>
        <v>1.2562599999999999</v>
      </c>
      <c r="H131" s="4">
        <f t="shared" si="14"/>
        <v>32.662759999999999</v>
      </c>
      <c r="I131" s="3">
        <v>26</v>
      </c>
      <c r="J131" s="4">
        <f t="shared" ref="J131:J151" si="17">L131*M131</f>
        <v>0.69599999999999995</v>
      </c>
      <c r="K131" s="5">
        <v>696</v>
      </c>
      <c r="L131" s="6">
        <f t="shared" si="15"/>
        <v>0.69599999999999995</v>
      </c>
      <c r="M131" s="5">
        <v>1</v>
      </c>
      <c r="N131" s="4">
        <f t="shared" si="13"/>
        <v>0.83099999999999996</v>
      </c>
      <c r="O131" s="37">
        <v>831</v>
      </c>
      <c r="P131" s="38">
        <f t="shared" ref="P131:P151" si="18">O131/1000</f>
        <v>0.83099999999999996</v>
      </c>
      <c r="Q131" s="37">
        <v>1</v>
      </c>
      <c r="R131" s="4">
        <f t="shared" ref="R131:R151" si="19">T131*U131</f>
        <v>2.778</v>
      </c>
      <c r="S131" s="7">
        <v>2778</v>
      </c>
      <c r="T131" s="8">
        <f t="shared" ref="T131:T151" si="20">S131/1000</f>
        <v>2.778</v>
      </c>
      <c r="U131" s="7">
        <v>1</v>
      </c>
      <c r="V131" s="13">
        <v>21.26</v>
      </c>
      <c r="W131" s="10">
        <v>8.3450000000000006</v>
      </c>
      <c r="X131" s="10">
        <v>3.9090000000000003</v>
      </c>
      <c r="Y131" s="10">
        <v>2.512</v>
      </c>
      <c r="Z131" s="10">
        <v>3.68</v>
      </c>
      <c r="AA131" s="10">
        <v>1.0900000000000001</v>
      </c>
      <c r="AB131" s="10">
        <v>67.290000000000006</v>
      </c>
      <c r="AC131" s="10">
        <v>68.08</v>
      </c>
      <c r="AD131" s="10">
        <v>43.45</v>
      </c>
      <c r="AE131" s="10">
        <v>61.96</v>
      </c>
      <c r="AF131" s="10">
        <v>75.540000000000006</v>
      </c>
      <c r="AG131" s="10">
        <v>39.33</v>
      </c>
      <c r="AH131" s="10">
        <v>12.8</v>
      </c>
      <c r="AI131" s="10">
        <v>0.16</v>
      </c>
      <c r="AJ131" s="10">
        <v>80.86</v>
      </c>
      <c r="BB131" s="12"/>
    </row>
    <row r="132" spans="1:54" x14ac:dyDescent="0.35">
      <c r="A132" s="3">
        <v>142</v>
      </c>
      <c r="B132" s="3">
        <v>8</v>
      </c>
      <c r="C132" s="3">
        <v>6</v>
      </c>
      <c r="D132" s="3">
        <v>8</v>
      </c>
      <c r="E132" s="3">
        <v>87</v>
      </c>
      <c r="F132" s="3">
        <v>1133.75</v>
      </c>
      <c r="G132" s="4">
        <f t="shared" si="16"/>
        <v>1.13375</v>
      </c>
      <c r="H132" s="4">
        <f t="shared" si="14"/>
        <v>58.954999999999998</v>
      </c>
      <c r="I132" s="3">
        <v>52</v>
      </c>
      <c r="J132" s="4">
        <f t="shared" si="17"/>
        <v>4.9850000000000003</v>
      </c>
      <c r="K132" s="5">
        <v>623.125</v>
      </c>
      <c r="L132" s="6">
        <f t="shared" si="15"/>
        <v>0.62312500000000004</v>
      </c>
      <c r="M132" s="5">
        <v>8</v>
      </c>
      <c r="N132" s="4">
        <f t="shared" ref="N132:N151" si="21">P132*Q132</f>
        <v>0</v>
      </c>
      <c r="O132" s="37">
        <v>0</v>
      </c>
      <c r="P132" s="38">
        <f t="shared" si="18"/>
        <v>0</v>
      </c>
      <c r="Q132" s="37">
        <v>0</v>
      </c>
      <c r="R132" s="4">
        <f t="shared" si="19"/>
        <v>0</v>
      </c>
      <c r="S132" s="7">
        <v>0</v>
      </c>
      <c r="T132" s="8">
        <f t="shared" si="20"/>
        <v>0</v>
      </c>
      <c r="U132" s="7">
        <v>0</v>
      </c>
      <c r="V132" s="13">
        <v>26.96</v>
      </c>
      <c r="W132" s="10">
        <v>10.074999999999999</v>
      </c>
      <c r="X132" s="10">
        <v>4.8529999999999998</v>
      </c>
      <c r="Y132" s="10">
        <v>2.875</v>
      </c>
      <c r="Z132" s="10">
        <v>5.25</v>
      </c>
      <c r="AA132" s="10">
        <v>1.23</v>
      </c>
      <c r="AB132" s="10">
        <v>81.87</v>
      </c>
      <c r="AC132" s="10">
        <v>83.8</v>
      </c>
      <c r="AD132" s="10">
        <v>52.52</v>
      </c>
      <c r="AE132" s="10">
        <v>76.67</v>
      </c>
      <c r="AF132" s="10">
        <v>83.02</v>
      </c>
      <c r="AG132" s="10">
        <v>48.56</v>
      </c>
      <c r="AH132" s="10">
        <v>14.36</v>
      </c>
      <c r="AI132" s="10">
        <v>0.18</v>
      </c>
      <c r="AJ132" s="10">
        <v>79.77</v>
      </c>
      <c r="BB132" s="12"/>
    </row>
    <row r="133" spans="1:54" x14ac:dyDescent="0.35">
      <c r="A133" s="3">
        <v>143</v>
      </c>
      <c r="B133" s="3">
        <v>8</v>
      </c>
      <c r="C133" s="3">
        <v>6</v>
      </c>
      <c r="D133" s="3">
        <v>10</v>
      </c>
      <c r="E133" s="3">
        <v>87</v>
      </c>
      <c r="F133" s="3">
        <v>1270.03</v>
      </c>
      <c r="G133" s="4">
        <f t="shared" si="16"/>
        <v>1.27003</v>
      </c>
      <c r="H133" s="4">
        <f t="shared" ref="H133:H151" si="22">G133*I133</f>
        <v>72.391710000000003</v>
      </c>
      <c r="I133" s="3">
        <v>57</v>
      </c>
      <c r="J133" s="4">
        <f t="shared" si="17"/>
        <v>4.33636</v>
      </c>
      <c r="K133" s="5">
        <v>619.48</v>
      </c>
      <c r="L133" s="6">
        <f t="shared" ref="L133:L151" si="23">K133/1000</f>
        <v>0.61948000000000003</v>
      </c>
      <c r="M133" s="5">
        <v>7</v>
      </c>
      <c r="N133" s="4">
        <f t="shared" si="21"/>
        <v>1.423</v>
      </c>
      <c r="O133" s="37">
        <v>1423</v>
      </c>
      <c r="P133" s="38">
        <f t="shared" si="18"/>
        <v>1.423</v>
      </c>
      <c r="Q133" s="37">
        <v>1</v>
      </c>
      <c r="R133" s="4">
        <f t="shared" si="19"/>
        <v>6.1859999999999999</v>
      </c>
      <c r="S133" s="7">
        <v>2062</v>
      </c>
      <c r="T133" s="8">
        <f t="shared" si="20"/>
        <v>2.0619999999999998</v>
      </c>
      <c r="U133" s="7">
        <v>3</v>
      </c>
      <c r="V133" s="13">
        <v>28.53</v>
      </c>
      <c r="W133" s="10">
        <v>11.148</v>
      </c>
      <c r="X133" s="10">
        <v>4.9670000000000005</v>
      </c>
      <c r="Y133" s="10">
        <v>2.8620000000000001</v>
      </c>
      <c r="Z133" s="10">
        <v>4.3499999999999996</v>
      </c>
      <c r="AA133" s="10">
        <v>1.47</v>
      </c>
      <c r="AB133" s="10">
        <v>73.989999999999995</v>
      </c>
      <c r="AC133" s="10">
        <v>83.81</v>
      </c>
      <c r="AD133" s="10">
        <v>47.32</v>
      </c>
      <c r="AE133" s="10">
        <v>72.989999999999995</v>
      </c>
      <c r="AF133" s="10">
        <v>87.52</v>
      </c>
      <c r="AG133" s="10">
        <v>54.32</v>
      </c>
      <c r="AH133" s="10">
        <v>11.2</v>
      </c>
      <c r="AI133" s="26" t="s">
        <v>40</v>
      </c>
      <c r="AJ133" s="10">
        <v>69.040000000000006</v>
      </c>
      <c r="BB133" s="12"/>
    </row>
    <row r="134" spans="1:54" x14ac:dyDescent="0.35">
      <c r="A134" s="3">
        <v>144</v>
      </c>
      <c r="B134" s="3">
        <v>9</v>
      </c>
      <c r="C134" s="3">
        <v>6</v>
      </c>
      <c r="D134" s="3">
        <v>6</v>
      </c>
      <c r="E134" s="3">
        <v>90</v>
      </c>
      <c r="F134" s="3">
        <v>1470.92</v>
      </c>
      <c r="G134" s="4">
        <f t="shared" si="16"/>
        <v>1.47092</v>
      </c>
      <c r="H134" s="4">
        <f t="shared" si="22"/>
        <v>41.185760000000002</v>
      </c>
      <c r="I134" s="3">
        <v>28</v>
      </c>
      <c r="J134" s="4">
        <f t="shared" si="17"/>
        <v>0.38400000000000001</v>
      </c>
      <c r="K134" s="5">
        <v>384</v>
      </c>
      <c r="L134" s="6">
        <f t="shared" si="23"/>
        <v>0.38400000000000001</v>
      </c>
      <c r="M134" s="5">
        <v>1</v>
      </c>
      <c r="N134" s="4">
        <f t="shared" si="21"/>
        <v>2.2200000000000002</v>
      </c>
      <c r="O134" s="37">
        <v>1110</v>
      </c>
      <c r="P134" s="38">
        <f t="shared" si="18"/>
        <v>1.1100000000000001</v>
      </c>
      <c r="Q134" s="37">
        <v>2</v>
      </c>
      <c r="R134" s="4">
        <f t="shared" si="19"/>
        <v>0.74399999999999999</v>
      </c>
      <c r="S134" s="7">
        <v>744</v>
      </c>
      <c r="T134" s="8">
        <f t="shared" si="20"/>
        <v>0.74399999999999999</v>
      </c>
      <c r="U134" s="7">
        <v>1</v>
      </c>
      <c r="V134" s="13">
        <v>27.32</v>
      </c>
      <c r="W134" s="10">
        <v>9.7110000000000003</v>
      </c>
      <c r="X134" s="10">
        <v>4.5679999999999996</v>
      </c>
      <c r="Y134" s="10">
        <v>2.7370000000000001</v>
      </c>
      <c r="Z134" s="10">
        <v>4.29</v>
      </c>
      <c r="AA134" s="10">
        <v>3.01</v>
      </c>
      <c r="AB134" s="10">
        <v>56.98</v>
      </c>
      <c r="AC134" s="10">
        <v>77.760000000000005</v>
      </c>
      <c r="AD134" s="10">
        <v>37.409999999999997</v>
      </c>
      <c r="AE134" s="10">
        <v>52.97</v>
      </c>
      <c r="AF134" s="10">
        <v>74.86</v>
      </c>
      <c r="AG134" s="10">
        <v>35.69</v>
      </c>
      <c r="AH134" s="10">
        <v>14</v>
      </c>
      <c r="AI134" s="26" t="s">
        <v>41</v>
      </c>
      <c r="AJ134" s="10">
        <v>82.48</v>
      </c>
      <c r="BB134" s="12"/>
    </row>
    <row r="135" spans="1:54" x14ac:dyDescent="0.35">
      <c r="A135" s="3">
        <v>146</v>
      </c>
      <c r="B135" s="3">
        <v>10</v>
      </c>
      <c r="C135" s="3">
        <v>6</v>
      </c>
      <c r="D135" s="3">
        <v>9</v>
      </c>
      <c r="E135" s="3">
        <v>96</v>
      </c>
      <c r="F135" s="3">
        <v>1480.92</v>
      </c>
      <c r="G135" s="4">
        <f t="shared" si="16"/>
        <v>1.48092</v>
      </c>
      <c r="H135" s="4">
        <f t="shared" si="22"/>
        <v>57.755879999999998</v>
      </c>
      <c r="I135" s="3">
        <v>39</v>
      </c>
      <c r="J135" s="4">
        <f t="shared" si="17"/>
        <v>0.46500000000000002</v>
      </c>
      <c r="K135" s="5">
        <v>465</v>
      </c>
      <c r="L135" s="6">
        <f t="shared" si="23"/>
        <v>0.46500000000000002</v>
      </c>
      <c r="M135" s="5">
        <v>1</v>
      </c>
      <c r="N135" s="4">
        <f t="shared" si="21"/>
        <v>0</v>
      </c>
      <c r="O135" s="37">
        <v>0</v>
      </c>
      <c r="P135" s="38">
        <f t="shared" si="18"/>
        <v>0</v>
      </c>
      <c r="Q135" s="37">
        <v>0</v>
      </c>
      <c r="R135" s="4">
        <f t="shared" si="19"/>
        <v>0</v>
      </c>
      <c r="S135" s="7">
        <v>0</v>
      </c>
      <c r="T135" s="8">
        <f t="shared" si="20"/>
        <v>0</v>
      </c>
      <c r="U135" s="7">
        <v>0</v>
      </c>
      <c r="V135" s="13">
        <v>22.92</v>
      </c>
      <c r="W135" s="10">
        <v>9.9550000000000001</v>
      </c>
      <c r="X135" s="10">
        <v>4.415</v>
      </c>
      <c r="Y135" s="10">
        <v>2.77</v>
      </c>
      <c r="Z135" s="10">
        <v>4.3099999999999996</v>
      </c>
      <c r="AA135" s="10">
        <v>1.31</v>
      </c>
      <c r="AB135" s="10">
        <v>56.45</v>
      </c>
      <c r="AC135" s="10">
        <v>81.44</v>
      </c>
      <c r="AD135" s="10">
        <v>34.299999999999997</v>
      </c>
      <c r="AE135" s="10">
        <v>51.24</v>
      </c>
      <c r="AF135" s="10">
        <v>86.46</v>
      </c>
      <c r="AG135" s="10">
        <v>33.44</v>
      </c>
      <c r="AH135" s="10">
        <v>14.1</v>
      </c>
      <c r="AI135" s="10">
        <v>0.21</v>
      </c>
      <c r="AJ135" s="10">
        <v>68.540000000000006</v>
      </c>
      <c r="BB135" s="12"/>
    </row>
    <row r="136" spans="1:54" x14ac:dyDescent="0.35">
      <c r="A136" s="3">
        <v>147</v>
      </c>
      <c r="B136" s="3">
        <v>9</v>
      </c>
      <c r="C136" s="3">
        <v>6</v>
      </c>
      <c r="D136" s="3">
        <v>8</v>
      </c>
      <c r="E136" s="3">
        <v>90</v>
      </c>
      <c r="F136" s="3">
        <v>1180.1600000000001</v>
      </c>
      <c r="G136" s="4">
        <f t="shared" si="16"/>
        <v>1.1801600000000001</v>
      </c>
      <c r="H136" s="4">
        <f t="shared" si="22"/>
        <v>59.008000000000003</v>
      </c>
      <c r="I136" s="3">
        <v>50</v>
      </c>
      <c r="J136" s="4">
        <f t="shared" si="17"/>
        <v>2.09</v>
      </c>
      <c r="K136" s="5">
        <v>522.5</v>
      </c>
      <c r="L136" s="6">
        <f t="shared" si="23"/>
        <v>0.52249999999999996</v>
      </c>
      <c r="M136" s="5">
        <v>4</v>
      </c>
      <c r="N136" s="4">
        <f t="shared" si="21"/>
        <v>3.24498</v>
      </c>
      <c r="O136" s="37">
        <v>1081.6600000000001</v>
      </c>
      <c r="P136" s="38">
        <f t="shared" si="18"/>
        <v>1.0816600000000001</v>
      </c>
      <c r="Q136" s="37">
        <v>3</v>
      </c>
      <c r="R136" s="4">
        <f t="shared" si="19"/>
        <v>0</v>
      </c>
      <c r="S136" s="7">
        <v>0</v>
      </c>
      <c r="T136" s="8">
        <f t="shared" si="20"/>
        <v>0</v>
      </c>
      <c r="U136" s="7">
        <v>0</v>
      </c>
      <c r="V136" s="13">
        <v>25.44</v>
      </c>
      <c r="W136" s="10">
        <v>9.7099999999999991</v>
      </c>
      <c r="X136" s="10">
        <v>4.59</v>
      </c>
      <c r="Y136" s="10">
        <v>2.5469999999999997</v>
      </c>
      <c r="Z136" s="10">
        <v>4.22</v>
      </c>
      <c r="AA136" s="10">
        <v>0.92</v>
      </c>
      <c r="AB136" s="10">
        <v>79.42</v>
      </c>
      <c r="AC136" s="10">
        <v>94.18</v>
      </c>
      <c r="AD136" s="10">
        <v>49.69</v>
      </c>
      <c r="AE136" s="10">
        <v>76.27</v>
      </c>
      <c r="AF136" s="10">
        <v>88.31</v>
      </c>
      <c r="AG136" s="10">
        <v>52</v>
      </c>
      <c r="AH136" s="10">
        <v>11.8</v>
      </c>
      <c r="AI136" s="10">
        <v>0.15</v>
      </c>
      <c r="AJ136" s="10">
        <v>79.55</v>
      </c>
      <c r="BB136" s="12"/>
    </row>
    <row r="137" spans="1:54" x14ac:dyDescent="0.35">
      <c r="A137" s="3">
        <v>148</v>
      </c>
      <c r="B137" s="3">
        <v>5</v>
      </c>
      <c r="C137" s="3">
        <v>7</v>
      </c>
      <c r="D137" s="3">
        <v>4</v>
      </c>
      <c r="E137" s="3">
        <v>40</v>
      </c>
      <c r="F137" s="3">
        <v>1232.77</v>
      </c>
      <c r="G137" s="4">
        <f t="shared" si="16"/>
        <v>1.2327699999999999</v>
      </c>
      <c r="H137" s="4">
        <f t="shared" si="22"/>
        <v>75.198969999999989</v>
      </c>
      <c r="I137" s="3">
        <v>61</v>
      </c>
      <c r="J137" s="4">
        <f t="shared" si="17"/>
        <v>0.31</v>
      </c>
      <c r="K137" s="5">
        <v>310</v>
      </c>
      <c r="L137" s="6">
        <f t="shared" si="23"/>
        <v>0.31</v>
      </c>
      <c r="M137" s="5">
        <v>1</v>
      </c>
      <c r="N137" s="4">
        <f t="shared" si="21"/>
        <v>2.8099799999999999</v>
      </c>
      <c r="O137" s="37">
        <v>936.66</v>
      </c>
      <c r="P137" s="38">
        <f t="shared" si="18"/>
        <v>0.93665999999999994</v>
      </c>
      <c r="Q137" s="37">
        <v>3</v>
      </c>
      <c r="R137" s="4">
        <f t="shared" si="19"/>
        <v>3.794</v>
      </c>
      <c r="S137" s="7">
        <v>948.5</v>
      </c>
      <c r="T137" s="8">
        <f t="shared" si="20"/>
        <v>0.94850000000000001</v>
      </c>
      <c r="U137" s="7">
        <v>4</v>
      </c>
      <c r="V137" s="3">
        <v>21.78</v>
      </c>
      <c r="W137" s="3">
        <v>9.6470000000000002</v>
      </c>
      <c r="X137" s="3">
        <v>4.3460000000000001</v>
      </c>
      <c r="Y137" s="3">
        <v>2.637</v>
      </c>
      <c r="Z137" s="3">
        <v>4.04</v>
      </c>
      <c r="AA137" s="3">
        <v>1.26</v>
      </c>
      <c r="AB137" s="3">
        <v>80.489999999999995</v>
      </c>
      <c r="AC137" s="3">
        <v>79.86</v>
      </c>
      <c r="AD137" s="3">
        <v>49.15</v>
      </c>
      <c r="AE137" s="3">
        <v>77.11</v>
      </c>
      <c r="AF137" s="3">
        <v>81.8</v>
      </c>
      <c r="AG137" s="3">
        <v>48.49</v>
      </c>
      <c r="AH137" s="3">
        <v>13.2</v>
      </c>
      <c r="AI137" s="3">
        <v>0.13</v>
      </c>
      <c r="AJ137" s="3">
        <v>98.68</v>
      </c>
      <c r="BB137" s="12"/>
    </row>
    <row r="138" spans="1:54" x14ac:dyDescent="0.35">
      <c r="A138" s="3">
        <v>149</v>
      </c>
      <c r="B138" s="3">
        <v>8</v>
      </c>
      <c r="C138" s="3">
        <v>7</v>
      </c>
      <c r="D138" s="3">
        <v>1</v>
      </c>
      <c r="E138" s="3">
        <v>74</v>
      </c>
      <c r="F138" s="3">
        <v>1227.4000000000001</v>
      </c>
      <c r="G138" s="4">
        <f t="shared" si="16"/>
        <v>1.2274</v>
      </c>
      <c r="H138" s="4">
        <f t="shared" si="22"/>
        <v>42.959000000000003</v>
      </c>
      <c r="I138" s="3">
        <v>35</v>
      </c>
      <c r="J138" s="4">
        <f t="shared" si="17"/>
        <v>0.98</v>
      </c>
      <c r="K138" s="5">
        <v>490</v>
      </c>
      <c r="L138" s="6">
        <f t="shared" si="23"/>
        <v>0.49</v>
      </c>
      <c r="M138" s="5">
        <v>2</v>
      </c>
      <c r="N138" s="4">
        <f t="shared" si="21"/>
        <v>4.5649800000000003</v>
      </c>
      <c r="O138" s="37">
        <v>1521.66</v>
      </c>
      <c r="P138" s="38">
        <f t="shared" si="18"/>
        <v>1.52166</v>
      </c>
      <c r="Q138" s="37">
        <v>3</v>
      </c>
      <c r="R138" s="4">
        <f t="shared" si="19"/>
        <v>0</v>
      </c>
      <c r="S138" s="7">
        <v>0</v>
      </c>
      <c r="T138" s="8">
        <f t="shared" si="20"/>
        <v>0</v>
      </c>
      <c r="U138" s="7">
        <v>0</v>
      </c>
      <c r="V138" s="3">
        <v>27.58</v>
      </c>
      <c r="W138" s="3">
        <v>10.571</v>
      </c>
      <c r="X138" s="3">
        <v>4.2779999999999996</v>
      </c>
      <c r="Y138" s="3">
        <v>3.379</v>
      </c>
      <c r="Z138" s="3">
        <v>4.0599999999999996</v>
      </c>
      <c r="AA138" s="3">
        <v>1.07</v>
      </c>
      <c r="AB138" s="3">
        <v>85.64</v>
      </c>
      <c r="AC138" s="3">
        <v>86.87</v>
      </c>
      <c r="AD138" s="3">
        <v>55.79</v>
      </c>
      <c r="AE138" s="3">
        <v>81.319999999999993</v>
      </c>
      <c r="AF138" s="3">
        <v>93.04</v>
      </c>
      <c r="AG138" s="3">
        <v>53.11</v>
      </c>
      <c r="AH138" s="3">
        <v>14.5</v>
      </c>
      <c r="AI138" s="3">
        <v>0.2</v>
      </c>
      <c r="AJ138" s="3">
        <v>71.89</v>
      </c>
      <c r="BB138" s="12"/>
    </row>
    <row r="139" spans="1:54" x14ac:dyDescent="0.35">
      <c r="A139" s="3">
        <v>150</v>
      </c>
      <c r="B139" s="3">
        <v>8</v>
      </c>
      <c r="C139" s="3">
        <v>7</v>
      </c>
      <c r="D139" s="3">
        <v>8</v>
      </c>
      <c r="E139" s="3">
        <v>74</v>
      </c>
      <c r="F139" s="3">
        <v>1943.08</v>
      </c>
      <c r="G139" s="4">
        <f t="shared" si="16"/>
        <v>1.9430799999999999</v>
      </c>
      <c r="H139" s="4">
        <f t="shared" si="22"/>
        <v>95.210920000000002</v>
      </c>
      <c r="I139" s="3">
        <v>49</v>
      </c>
      <c r="J139" s="4">
        <f t="shared" si="17"/>
        <v>4.0510000000000002</v>
      </c>
      <c r="K139" s="5">
        <v>810.2</v>
      </c>
      <c r="L139" s="6">
        <f t="shared" si="23"/>
        <v>0.81020000000000003</v>
      </c>
      <c r="M139" s="5">
        <v>5</v>
      </c>
      <c r="N139" s="4">
        <f t="shared" si="21"/>
        <v>0</v>
      </c>
      <c r="O139" s="37">
        <v>0</v>
      </c>
      <c r="P139" s="38">
        <f t="shared" si="18"/>
        <v>0</v>
      </c>
      <c r="Q139" s="37">
        <v>0</v>
      </c>
      <c r="R139" s="4">
        <f t="shared" si="19"/>
        <v>0</v>
      </c>
      <c r="S139" s="7">
        <v>0</v>
      </c>
      <c r="T139" s="8">
        <f t="shared" si="20"/>
        <v>0</v>
      </c>
      <c r="U139" s="7">
        <v>0</v>
      </c>
      <c r="V139" s="3">
        <v>25.7</v>
      </c>
      <c r="W139" s="3">
        <v>11.728</v>
      </c>
      <c r="X139" s="3">
        <v>5.4059999999999997</v>
      </c>
      <c r="Y139" s="3">
        <v>2.8370000000000002</v>
      </c>
      <c r="Z139" s="3">
        <v>2.93</v>
      </c>
      <c r="AA139" s="3">
        <v>1.06</v>
      </c>
      <c r="AB139" s="3">
        <v>81.94</v>
      </c>
      <c r="AC139" s="3">
        <v>90.13</v>
      </c>
      <c r="AD139" s="3">
        <v>47.59</v>
      </c>
      <c r="AE139" s="3">
        <v>72.86</v>
      </c>
      <c r="AF139" s="3">
        <v>83.66</v>
      </c>
      <c r="AG139" s="3">
        <v>44.44</v>
      </c>
      <c r="AH139" s="3">
        <v>13.6</v>
      </c>
      <c r="AI139" s="3">
        <v>0.14000000000000001</v>
      </c>
      <c r="AJ139" s="3">
        <v>100.2</v>
      </c>
      <c r="BB139" s="12"/>
    </row>
    <row r="140" spans="1:54" x14ac:dyDescent="0.35">
      <c r="A140" s="3">
        <v>151</v>
      </c>
      <c r="B140" s="3">
        <v>10</v>
      </c>
      <c r="C140" s="3">
        <v>7</v>
      </c>
      <c r="D140" s="3">
        <v>8</v>
      </c>
      <c r="E140" s="3">
        <v>100</v>
      </c>
      <c r="F140" s="3">
        <v>1210.46</v>
      </c>
      <c r="G140" s="4">
        <f t="shared" si="16"/>
        <v>1.2104600000000001</v>
      </c>
      <c r="H140" s="4">
        <f t="shared" si="22"/>
        <v>75.048520000000011</v>
      </c>
      <c r="I140" s="3">
        <v>62</v>
      </c>
      <c r="J140" s="4">
        <f t="shared" si="17"/>
        <v>1.585</v>
      </c>
      <c r="K140" s="5">
        <v>792.5</v>
      </c>
      <c r="L140" s="6">
        <f t="shared" si="23"/>
        <v>0.79249999999999998</v>
      </c>
      <c r="M140" s="5">
        <v>2</v>
      </c>
      <c r="N140" s="4">
        <f t="shared" si="21"/>
        <v>1.22499</v>
      </c>
      <c r="O140" s="37">
        <v>408.33</v>
      </c>
      <c r="P140" s="38">
        <f t="shared" si="18"/>
        <v>0.40832999999999997</v>
      </c>
      <c r="Q140" s="37">
        <v>3</v>
      </c>
      <c r="R140" s="4">
        <f t="shared" si="19"/>
        <v>0.82599999999999996</v>
      </c>
      <c r="S140" s="7">
        <v>826</v>
      </c>
      <c r="T140" s="8">
        <f t="shared" si="20"/>
        <v>0.82599999999999996</v>
      </c>
      <c r="U140" s="7">
        <v>1</v>
      </c>
      <c r="V140" s="3">
        <v>24.76</v>
      </c>
      <c r="W140" s="3">
        <v>10.563000000000001</v>
      </c>
      <c r="X140" s="3">
        <v>5.306</v>
      </c>
      <c r="Y140" s="3">
        <v>2.7160000000000002</v>
      </c>
      <c r="Z140" s="3">
        <v>3.15</v>
      </c>
      <c r="AA140" s="3">
        <v>1.17</v>
      </c>
      <c r="AB140" s="3">
        <v>78.08</v>
      </c>
      <c r="AC140" s="3">
        <v>90.3</v>
      </c>
      <c r="AD140" s="3">
        <v>47.4</v>
      </c>
      <c r="AE140" s="3">
        <v>72.459999999999994</v>
      </c>
      <c r="AF140" s="3">
        <v>92.52</v>
      </c>
      <c r="AG140" s="3">
        <v>44.88</v>
      </c>
      <c r="AH140" s="3">
        <v>15.8</v>
      </c>
      <c r="AI140" s="3">
        <v>0.15</v>
      </c>
      <c r="AJ140" s="3">
        <v>107.48</v>
      </c>
      <c r="BB140" s="12"/>
    </row>
    <row r="141" spans="1:54" x14ac:dyDescent="0.35">
      <c r="A141" s="3">
        <v>152</v>
      </c>
      <c r="B141" s="3">
        <v>1</v>
      </c>
      <c r="C141" s="3">
        <v>7</v>
      </c>
      <c r="D141" s="3">
        <v>5</v>
      </c>
      <c r="E141" s="3">
        <v>7</v>
      </c>
      <c r="F141" s="3">
        <v>1566.55</v>
      </c>
      <c r="G141" s="4">
        <f t="shared" si="16"/>
        <v>1.5665499999999999</v>
      </c>
      <c r="H141" s="4">
        <f t="shared" si="22"/>
        <v>42.296849999999999</v>
      </c>
      <c r="I141" s="3">
        <v>27</v>
      </c>
      <c r="J141" s="4">
        <f t="shared" si="17"/>
        <v>4.0060000000000002</v>
      </c>
      <c r="K141" s="5">
        <v>801.2</v>
      </c>
      <c r="L141" s="6">
        <f t="shared" si="23"/>
        <v>0.80120000000000002</v>
      </c>
      <c r="M141" s="5">
        <v>5</v>
      </c>
      <c r="N141" s="4">
        <f t="shared" si="21"/>
        <v>4.16</v>
      </c>
      <c r="O141" s="37">
        <v>2080</v>
      </c>
      <c r="P141" s="38">
        <f t="shared" si="18"/>
        <v>2.08</v>
      </c>
      <c r="Q141" s="37">
        <v>2</v>
      </c>
      <c r="R141" s="4">
        <f t="shared" si="19"/>
        <v>0</v>
      </c>
      <c r="S141" s="7">
        <v>0</v>
      </c>
      <c r="T141" s="8">
        <f t="shared" si="20"/>
        <v>0</v>
      </c>
      <c r="U141" s="7">
        <v>0</v>
      </c>
      <c r="V141" s="3">
        <v>26.3</v>
      </c>
      <c r="W141" s="3">
        <v>11.749000000000001</v>
      </c>
      <c r="X141" s="3">
        <v>5.2439999999999998</v>
      </c>
      <c r="Y141" s="3">
        <v>3.4009999999999998</v>
      </c>
      <c r="Z141" s="3">
        <v>3.69</v>
      </c>
      <c r="AA141" s="3">
        <v>0.81</v>
      </c>
      <c r="AB141" s="3">
        <v>78.88</v>
      </c>
      <c r="AC141" s="3">
        <v>93.78</v>
      </c>
      <c r="AD141" s="3">
        <v>51.54</v>
      </c>
      <c r="AE141" s="3">
        <v>74.900000000000006</v>
      </c>
      <c r="AF141" s="3">
        <v>97.14</v>
      </c>
      <c r="AG141" s="3">
        <v>49.1</v>
      </c>
      <c r="AH141" s="3">
        <v>14.3</v>
      </c>
      <c r="AI141" s="3">
        <v>0.16</v>
      </c>
      <c r="AJ141" s="3">
        <v>90.81</v>
      </c>
      <c r="BB141" s="12"/>
    </row>
    <row r="142" spans="1:54" x14ac:dyDescent="0.35">
      <c r="A142" s="3">
        <v>153</v>
      </c>
      <c r="B142" s="3">
        <v>5</v>
      </c>
      <c r="C142" s="3">
        <v>7</v>
      </c>
      <c r="D142" s="3">
        <v>9</v>
      </c>
      <c r="E142" s="3">
        <v>40</v>
      </c>
      <c r="F142" s="3">
        <v>1716.92</v>
      </c>
      <c r="G142" s="4">
        <f t="shared" si="16"/>
        <v>1.71692</v>
      </c>
      <c r="H142" s="4">
        <f t="shared" si="22"/>
        <v>66.959879999999998</v>
      </c>
      <c r="I142" s="3">
        <v>39</v>
      </c>
      <c r="J142" s="4">
        <f t="shared" si="17"/>
        <v>3.2530000000000001</v>
      </c>
      <c r="K142" s="5">
        <v>813.25</v>
      </c>
      <c r="L142" s="6">
        <f t="shared" si="23"/>
        <v>0.81325000000000003</v>
      </c>
      <c r="M142" s="5">
        <v>4</v>
      </c>
      <c r="N142" s="4">
        <f t="shared" si="21"/>
        <v>26.82</v>
      </c>
      <c r="O142" s="37">
        <v>6705</v>
      </c>
      <c r="P142" s="38">
        <f t="shared" si="18"/>
        <v>6.7050000000000001</v>
      </c>
      <c r="Q142" s="37">
        <v>4</v>
      </c>
      <c r="R142" s="4">
        <f t="shared" si="19"/>
        <v>0</v>
      </c>
      <c r="S142" s="7">
        <v>0</v>
      </c>
      <c r="T142" s="8">
        <f t="shared" si="20"/>
        <v>0</v>
      </c>
      <c r="U142" s="7">
        <v>0</v>
      </c>
      <c r="V142" s="3">
        <v>26.32</v>
      </c>
      <c r="W142" s="3">
        <v>9.7080000000000002</v>
      </c>
      <c r="X142" s="3">
        <v>3.9590000000000001</v>
      </c>
      <c r="Y142" s="3">
        <v>3.1880000000000002</v>
      </c>
      <c r="Z142" s="3">
        <v>3.24</v>
      </c>
      <c r="AA142" s="3">
        <v>0.84</v>
      </c>
      <c r="AB142" s="3">
        <v>52.15</v>
      </c>
      <c r="AC142" s="3">
        <v>70.040000000000006</v>
      </c>
      <c r="AD142" s="3">
        <v>36.43</v>
      </c>
      <c r="AE142" s="3">
        <v>50.45</v>
      </c>
      <c r="AF142" s="3">
        <v>69.05</v>
      </c>
      <c r="AG142" s="3">
        <v>35.19</v>
      </c>
      <c r="AH142" s="3">
        <v>13.4</v>
      </c>
      <c r="AI142" s="3">
        <v>0.17</v>
      </c>
      <c r="AJ142" s="3">
        <v>77.95</v>
      </c>
      <c r="BB142" s="12"/>
    </row>
    <row r="143" spans="1:54" x14ac:dyDescent="0.35">
      <c r="A143" s="3">
        <v>154</v>
      </c>
      <c r="B143" s="3">
        <v>3</v>
      </c>
      <c r="C143" s="3">
        <v>7</v>
      </c>
      <c r="D143" s="3">
        <v>7</v>
      </c>
      <c r="E143" s="3">
        <v>23</v>
      </c>
      <c r="F143" s="3">
        <v>1599.52</v>
      </c>
      <c r="G143" s="4">
        <f t="shared" si="16"/>
        <v>1.5995200000000001</v>
      </c>
      <c r="H143" s="4">
        <f t="shared" si="22"/>
        <v>57.582720000000002</v>
      </c>
      <c r="I143" s="3">
        <v>36</v>
      </c>
      <c r="J143" s="4">
        <f t="shared" si="17"/>
        <v>4.8149500000000005</v>
      </c>
      <c r="K143" s="5">
        <v>687.85</v>
      </c>
      <c r="L143" s="6">
        <f t="shared" si="23"/>
        <v>0.68785000000000007</v>
      </c>
      <c r="M143" s="5">
        <v>7</v>
      </c>
      <c r="N143" s="4">
        <f t="shared" si="21"/>
        <v>2.0190000000000001</v>
      </c>
      <c r="O143" s="37">
        <v>2019</v>
      </c>
      <c r="P143" s="38">
        <f t="shared" si="18"/>
        <v>2.0190000000000001</v>
      </c>
      <c r="Q143" s="37">
        <v>1</v>
      </c>
      <c r="R143" s="4">
        <f t="shared" si="19"/>
        <v>0</v>
      </c>
      <c r="S143" s="7">
        <v>0</v>
      </c>
      <c r="T143" s="8">
        <f t="shared" si="20"/>
        <v>0</v>
      </c>
      <c r="U143" s="7">
        <v>0</v>
      </c>
      <c r="V143" s="3">
        <v>24.06</v>
      </c>
      <c r="W143" s="3">
        <v>11.335000000000001</v>
      </c>
      <c r="X143" s="3">
        <v>5.9420000000000002</v>
      </c>
      <c r="Y143" s="3">
        <v>4.1399999999999997</v>
      </c>
      <c r="Z143" s="3">
        <v>4.1500000000000004</v>
      </c>
      <c r="AA143" s="3">
        <v>0.97</v>
      </c>
      <c r="AB143" s="3">
        <v>71.69</v>
      </c>
      <c r="AC143" s="3">
        <v>98.15</v>
      </c>
      <c r="AD143" s="3">
        <v>47.03</v>
      </c>
      <c r="AE143" s="3">
        <v>65.010000000000005</v>
      </c>
      <c r="AF143" s="3">
        <v>92.87</v>
      </c>
      <c r="AG143" s="3">
        <v>42.52</v>
      </c>
      <c r="AH143" s="3">
        <v>14.1</v>
      </c>
      <c r="AI143" s="3">
        <v>0.18</v>
      </c>
      <c r="AJ143" s="3">
        <v>77.14</v>
      </c>
      <c r="BB143" s="12"/>
    </row>
    <row r="144" spans="1:54" x14ac:dyDescent="0.35">
      <c r="A144" s="3">
        <v>155</v>
      </c>
      <c r="B144" s="3">
        <v>3</v>
      </c>
      <c r="C144" s="3">
        <v>7</v>
      </c>
      <c r="D144" s="3">
        <v>1</v>
      </c>
      <c r="E144" s="3">
        <v>23</v>
      </c>
      <c r="F144" s="3">
        <v>1636.65</v>
      </c>
      <c r="G144" s="4">
        <f t="shared" si="16"/>
        <v>1.6366500000000002</v>
      </c>
      <c r="H144" s="4">
        <f t="shared" si="22"/>
        <v>52.372800000000005</v>
      </c>
      <c r="I144" s="3">
        <v>32</v>
      </c>
      <c r="J144" s="4">
        <f t="shared" si="17"/>
        <v>0</v>
      </c>
      <c r="K144" s="5">
        <v>0</v>
      </c>
      <c r="L144" s="6">
        <f t="shared" si="23"/>
        <v>0</v>
      </c>
      <c r="M144" s="5">
        <v>0</v>
      </c>
      <c r="N144" s="4">
        <f t="shared" si="21"/>
        <v>0.94599999999999995</v>
      </c>
      <c r="O144" s="37">
        <v>946</v>
      </c>
      <c r="P144" s="38">
        <f t="shared" si="18"/>
        <v>0.94599999999999995</v>
      </c>
      <c r="Q144" s="37">
        <v>1</v>
      </c>
      <c r="R144" s="4">
        <f t="shared" si="19"/>
        <v>0</v>
      </c>
      <c r="S144" s="7">
        <v>0</v>
      </c>
      <c r="T144" s="8">
        <f t="shared" si="20"/>
        <v>0</v>
      </c>
      <c r="U144" s="7">
        <v>0</v>
      </c>
      <c r="V144" s="3">
        <v>21.98</v>
      </c>
      <c r="W144" s="3">
        <v>12.615</v>
      </c>
      <c r="X144" s="3">
        <v>6.6859999999999999</v>
      </c>
      <c r="Y144" s="3">
        <v>3.419</v>
      </c>
      <c r="Z144" s="3">
        <v>2.52</v>
      </c>
      <c r="AA144" s="3">
        <v>0.56999999999999995</v>
      </c>
      <c r="AB144" s="3">
        <v>76.12</v>
      </c>
      <c r="AC144" s="3">
        <v>93.14</v>
      </c>
      <c r="AD144" s="3">
        <v>49.57</v>
      </c>
      <c r="AE144" s="3">
        <v>70.55</v>
      </c>
      <c r="AF144" s="3">
        <v>97.65</v>
      </c>
      <c r="AG144" s="3">
        <v>46.3</v>
      </c>
      <c r="AH144" s="3">
        <v>14.3</v>
      </c>
      <c r="AI144" s="3">
        <v>0.19</v>
      </c>
      <c r="AJ144" s="3">
        <v>75.84</v>
      </c>
      <c r="BB144" s="12"/>
    </row>
    <row r="145" spans="1:54" x14ac:dyDescent="0.35">
      <c r="A145" s="3">
        <v>156</v>
      </c>
      <c r="B145" s="3">
        <v>9</v>
      </c>
      <c r="C145" s="3">
        <v>7</v>
      </c>
      <c r="D145" s="3">
        <v>6</v>
      </c>
      <c r="E145" s="3">
        <v>85</v>
      </c>
      <c r="F145" s="3">
        <v>1115.57</v>
      </c>
      <c r="G145" s="4">
        <f t="shared" si="16"/>
        <v>1.11557</v>
      </c>
      <c r="H145" s="4">
        <f t="shared" si="22"/>
        <v>52.431789999999999</v>
      </c>
      <c r="I145" s="3">
        <v>47</v>
      </c>
      <c r="J145" s="4">
        <f t="shared" si="17"/>
        <v>0</v>
      </c>
      <c r="K145" s="5">
        <v>0</v>
      </c>
      <c r="L145" s="6">
        <f t="shared" si="23"/>
        <v>0</v>
      </c>
      <c r="M145" s="5">
        <v>0</v>
      </c>
      <c r="N145" s="4">
        <f t="shared" si="21"/>
        <v>4.9669999999999996</v>
      </c>
      <c r="O145" s="37">
        <v>1241.75</v>
      </c>
      <c r="P145" s="38">
        <f t="shared" si="18"/>
        <v>1.2417499999999999</v>
      </c>
      <c r="Q145" s="37">
        <v>4</v>
      </c>
      <c r="R145" s="4">
        <f t="shared" si="19"/>
        <v>0</v>
      </c>
      <c r="S145" s="7">
        <v>0</v>
      </c>
      <c r="T145" s="8">
        <f t="shared" si="20"/>
        <v>0</v>
      </c>
      <c r="U145" s="7">
        <v>0</v>
      </c>
      <c r="V145" s="3">
        <v>26.52</v>
      </c>
      <c r="W145" s="3">
        <v>10.260999999999999</v>
      </c>
      <c r="X145" s="3">
        <v>4.0659999999999998</v>
      </c>
      <c r="Y145" s="3">
        <v>2.915</v>
      </c>
      <c r="Z145" s="3">
        <v>3.52</v>
      </c>
      <c r="AA145" s="3">
        <v>0.96</v>
      </c>
      <c r="AB145" s="3">
        <v>71.31</v>
      </c>
      <c r="AC145" s="3">
        <v>93.74</v>
      </c>
      <c r="AD145" s="3">
        <v>46.51</v>
      </c>
      <c r="AE145" s="3">
        <v>66.010000000000005</v>
      </c>
      <c r="AF145" s="3">
        <v>93.28</v>
      </c>
      <c r="AG145" s="3">
        <v>43.18</v>
      </c>
      <c r="AH145" s="3">
        <v>12.9</v>
      </c>
      <c r="AI145" s="3">
        <v>0.14000000000000001</v>
      </c>
      <c r="AJ145" s="3">
        <v>93.04</v>
      </c>
      <c r="BB145" s="12"/>
    </row>
    <row r="146" spans="1:54" x14ac:dyDescent="0.35">
      <c r="A146" s="3">
        <v>157</v>
      </c>
      <c r="B146" s="3">
        <v>3</v>
      </c>
      <c r="C146" s="3">
        <v>7</v>
      </c>
      <c r="D146" s="3">
        <v>3</v>
      </c>
      <c r="E146" s="3">
        <v>23</v>
      </c>
      <c r="F146" s="3">
        <v>1564.45</v>
      </c>
      <c r="G146" s="4">
        <f t="shared" si="16"/>
        <v>1.5644500000000001</v>
      </c>
      <c r="H146" s="4">
        <f t="shared" si="22"/>
        <v>62.578000000000003</v>
      </c>
      <c r="I146" s="3">
        <v>40</v>
      </c>
      <c r="J146" s="4">
        <f t="shared" si="17"/>
        <v>4.4089999999999998</v>
      </c>
      <c r="K146" s="5">
        <v>881.8</v>
      </c>
      <c r="L146" s="6">
        <f t="shared" si="23"/>
        <v>0.88179999999999992</v>
      </c>
      <c r="M146" s="5">
        <v>5</v>
      </c>
      <c r="N146" s="4">
        <f t="shared" si="21"/>
        <v>9.6029499999999999</v>
      </c>
      <c r="O146" s="37">
        <v>1371.85</v>
      </c>
      <c r="P146" s="38">
        <f t="shared" si="18"/>
        <v>1.37185</v>
      </c>
      <c r="Q146" s="37">
        <v>7</v>
      </c>
      <c r="R146" s="4">
        <f t="shared" si="19"/>
        <v>0</v>
      </c>
      <c r="S146" s="7">
        <v>0</v>
      </c>
      <c r="T146" s="8">
        <f t="shared" si="20"/>
        <v>0</v>
      </c>
      <c r="U146" s="7">
        <v>0</v>
      </c>
      <c r="V146" s="3">
        <v>24.58</v>
      </c>
      <c r="W146" s="3">
        <v>10.143000000000001</v>
      </c>
      <c r="X146" s="3">
        <v>5.0350000000000001</v>
      </c>
      <c r="Y146" s="3">
        <v>2.69</v>
      </c>
      <c r="Z146" s="3">
        <v>4.01</v>
      </c>
      <c r="AA146" s="3">
        <v>0.89</v>
      </c>
      <c r="AB146" s="3">
        <v>76.11</v>
      </c>
      <c r="AC146" s="3">
        <v>94.14</v>
      </c>
      <c r="AD146" s="3">
        <v>50.55</v>
      </c>
      <c r="AE146" s="3">
        <v>68.86</v>
      </c>
      <c r="AF146" s="3">
        <v>94.97</v>
      </c>
      <c r="AG146" s="3">
        <v>44.97</v>
      </c>
      <c r="AH146" s="3">
        <v>14.5</v>
      </c>
      <c r="AI146" s="3">
        <v>0.18</v>
      </c>
      <c r="AJ146" s="3">
        <v>82.15</v>
      </c>
      <c r="BB146" s="12"/>
    </row>
    <row r="147" spans="1:54" x14ac:dyDescent="0.35">
      <c r="A147" s="3">
        <v>158</v>
      </c>
      <c r="B147" s="3">
        <v>7</v>
      </c>
      <c r="C147" s="3">
        <v>7</v>
      </c>
      <c r="D147" s="3">
        <v>4</v>
      </c>
      <c r="E147" s="3">
        <v>67</v>
      </c>
      <c r="F147" s="3">
        <v>1226.76</v>
      </c>
      <c r="G147" s="4">
        <f t="shared" si="16"/>
        <v>1.2267600000000001</v>
      </c>
      <c r="H147" s="4">
        <f t="shared" si="22"/>
        <v>63.791520000000006</v>
      </c>
      <c r="I147" s="3">
        <v>52</v>
      </c>
      <c r="J147" s="4">
        <f t="shared" si="17"/>
        <v>0</v>
      </c>
      <c r="K147" s="5">
        <v>0</v>
      </c>
      <c r="L147" s="6">
        <f t="shared" si="23"/>
        <v>0</v>
      </c>
      <c r="M147" s="5">
        <v>0</v>
      </c>
      <c r="N147" s="4">
        <f t="shared" si="21"/>
        <v>3.56</v>
      </c>
      <c r="O147" s="37">
        <v>1780</v>
      </c>
      <c r="P147" s="38">
        <f t="shared" si="18"/>
        <v>1.78</v>
      </c>
      <c r="Q147" s="37">
        <v>2</v>
      </c>
      <c r="R147" s="4">
        <f t="shared" si="19"/>
        <v>0</v>
      </c>
      <c r="S147" s="7">
        <v>0</v>
      </c>
      <c r="T147" s="8">
        <f t="shared" si="20"/>
        <v>0</v>
      </c>
      <c r="U147" s="7">
        <v>0</v>
      </c>
      <c r="V147" s="3">
        <v>23.02</v>
      </c>
      <c r="W147" s="3">
        <v>12.038</v>
      </c>
      <c r="X147" s="3">
        <v>6.556</v>
      </c>
      <c r="Y147" s="3">
        <v>2.7440000000000002</v>
      </c>
      <c r="Z147" s="3">
        <v>3.79</v>
      </c>
      <c r="AA147" s="3">
        <v>0.93</v>
      </c>
      <c r="AB147" s="3">
        <v>77.13</v>
      </c>
      <c r="AC147" s="3">
        <v>92.33</v>
      </c>
      <c r="AD147" s="3">
        <v>50.41</v>
      </c>
      <c r="AE147" s="3">
        <v>73.099999999999994</v>
      </c>
      <c r="AF147" s="3">
        <v>96.38</v>
      </c>
      <c r="AG147" s="3">
        <v>47.75</v>
      </c>
      <c r="AH147" s="3">
        <v>13.4</v>
      </c>
      <c r="AI147" s="3">
        <v>0.18</v>
      </c>
      <c r="AJ147" s="3">
        <v>75.540000000000006</v>
      </c>
      <c r="BB147" s="12"/>
    </row>
    <row r="148" spans="1:54" x14ac:dyDescent="0.35">
      <c r="A148" s="3">
        <v>159</v>
      </c>
      <c r="B148" s="3">
        <v>8</v>
      </c>
      <c r="C148" s="3">
        <v>7</v>
      </c>
      <c r="D148" s="3">
        <v>2</v>
      </c>
      <c r="E148" s="3">
        <v>74</v>
      </c>
      <c r="F148" s="3">
        <v>1198.8599999999999</v>
      </c>
      <c r="G148" s="4">
        <f t="shared" si="16"/>
        <v>1.1988599999999998</v>
      </c>
      <c r="H148" s="4">
        <f t="shared" si="22"/>
        <v>69.533879999999982</v>
      </c>
      <c r="I148" s="3">
        <v>58</v>
      </c>
      <c r="J148" s="4">
        <f t="shared" si="17"/>
        <v>2.452</v>
      </c>
      <c r="K148" s="5">
        <v>613</v>
      </c>
      <c r="L148" s="6">
        <f t="shared" si="23"/>
        <v>0.61299999999999999</v>
      </c>
      <c r="M148" s="5">
        <v>4</v>
      </c>
      <c r="N148" s="4">
        <f t="shared" si="21"/>
        <v>3.9230000000000005</v>
      </c>
      <c r="O148" s="37">
        <v>784.6</v>
      </c>
      <c r="P148" s="38">
        <f t="shared" si="18"/>
        <v>0.78460000000000008</v>
      </c>
      <c r="Q148" s="37">
        <v>5</v>
      </c>
      <c r="R148" s="4">
        <f t="shared" si="19"/>
        <v>6.6939960000000003</v>
      </c>
      <c r="S148" s="7">
        <v>1115.6659999999999</v>
      </c>
      <c r="T148" s="8">
        <f t="shared" si="20"/>
        <v>1.115666</v>
      </c>
      <c r="U148" s="7">
        <v>6</v>
      </c>
      <c r="V148" s="3">
        <v>23.96</v>
      </c>
      <c r="W148" s="3">
        <v>10.874000000000001</v>
      </c>
      <c r="X148" s="3">
        <v>5.6360000000000001</v>
      </c>
      <c r="Y148" s="3">
        <v>2.65</v>
      </c>
      <c r="Z148" s="3">
        <v>3.45</v>
      </c>
      <c r="AA148" s="3">
        <v>0.67</v>
      </c>
      <c r="AB148" s="3">
        <v>74.650000000000006</v>
      </c>
      <c r="AC148" s="3">
        <v>93.73</v>
      </c>
      <c r="AD148" s="3">
        <v>48.62</v>
      </c>
      <c r="AE148" s="3">
        <v>74.66</v>
      </c>
      <c r="AF148" s="3">
        <v>93.95</v>
      </c>
      <c r="AG148" s="3">
        <v>48.29</v>
      </c>
      <c r="AH148" s="3">
        <v>13</v>
      </c>
      <c r="AI148" s="3">
        <v>0.15</v>
      </c>
      <c r="AJ148" s="3">
        <v>84.54</v>
      </c>
      <c r="BB148" s="12"/>
    </row>
    <row r="149" spans="1:54" x14ac:dyDescent="0.35">
      <c r="A149" s="3">
        <v>160</v>
      </c>
      <c r="B149" s="3">
        <v>9</v>
      </c>
      <c r="C149" s="3">
        <v>7</v>
      </c>
      <c r="D149" s="3">
        <v>2</v>
      </c>
      <c r="E149" s="3">
        <v>85</v>
      </c>
      <c r="F149" s="3">
        <v>1201.68</v>
      </c>
      <c r="G149" s="4">
        <f t="shared" si="16"/>
        <v>1.2016800000000001</v>
      </c>
      <c r="H149" s="4">
        <f t="shared" si="22"/>
        <v>54.075600000000001</v>
      </c>
      <c r="I149" s="3">
        <v>45</v>
      </c>
      <c r="J149" s="4">
        <f t="shared" si="17"/>
        <v>0</v>
      </c>
      <c r="K149" s="5">
        <v>0</v>
      </c>
      <c r="L149" s="6">
        <f t="shared" si="23"/>
        <v>0</v>
      </c>
      <c r="M149" s="5">
        <v>0</v>
      </c>
      <c r="N149" s="4">
        <f t="shared" si="21"/>
        <v>0.52600000000000002</v>
      </c>
      <c r="O149" s="37">
        <v>526</v>
      </c>
      <c r="P149" s="38">
        <f t="shared" si="18"/>
        <v>0.52600000000000002</v>
      </c>
      <c r="Q149" s="37">
        <v>1</v>
      </c>
      <c r="R149" s="4">
        <f t="shared" si="19"/>
        <v>1.9850000000000001</v>
      </c>
      <c r="S149" s="7">
        <v>1985</v>
      </c>
      <c r="T149" s="8">
        <f t="shared" si="20"/>
        <v>1.9850000000000001</v>
      </c>
      <c r="U149" s="7">
        <v>1</v>
      </c>
      <c r="V149" s="3">
        <v>25.96</v>
      </c>
      <c r="W149" s="3">
        <v>10.558999999999999</v>
      </c>
      <c r="X149" s="3">
        <v>5.4790000000000001</v>
      </c>
      <c r="Y149" s="3">
        <v>2.7069999999999999</v>
      </c>
      <c r="Z149" s="3">
        <v>2.74</v>
      </c>
      <c r="AA149" s="3">
        <v>0.82</v>
      </c>
      <c r="AB149" s="3">
        <v>55.02</v>
      </c>
      <c r="AC149" s="3">
        <v>77.23</v>
      </c>
      <c r="AD149" s="3">
        <v>36.08</v>
      </c>
      <c r="AE149" s="3">
        <v>58.23</v>
      </c>
      <c r="AF149" s="3">
        <v>82.08</v>
      </c>
      <c r="AG149" s="3">
        <v>38.24</v>
      </c>
      <c r="AH149" s="3">
        <v>14.8</v>
      </c>
      <c r="AI149" s="3">
        <v>0.16</v>
      </c>
      <c r="AJ149" s="3">
        <v>94.79</v>
      </c>
      <c r="BB149" s="12"/>
    </row>
    <row r="150" spans="1:54" x14ac:dyDescent="0.35">
      <c r="A150" s="3">
        <v>161</v>
      </c>
      <c r="B150" s="3">
        <v>4</v>
      </c>
      <c r="C150" s="3">
        <v>7</v>
      </c>
      <c r="D150" s="3">
        <v>7</v>
      </c>
      <c r="E150" s="3">
        <v>33</v>
      </c>
      <c r="F150" s="3">
        <v>1263.69</v>
      </c>
      <c r="G150" s="4">
        <f t="shared" si="16"/>
        <v>1.26369</v>
      </c>
      <c r="H150" s="4">
        <f t="shared" si="22"/>
        <v>53.074979999999996</v>
      </c>
      <c r="I150" s="3">
        <v>42</v>
      </c>
      <c r="J150" s="4">
        <f t="shared" si="17"/>
        <v>0.40100000000000002</v>
      </c>
      <c r="K150" s="5">
        <v>401</v>
      </c>
      <c r="L150" s="6">
        <f t="shared" si="23"/>
        <v>0.40100000000000002</v>
      </c>
      <c r="M150" s="5">
        <v>1</v>
      </c>
      <c r="N150" s="4">
        <f t="shared" si="21"/>
        <v>2.25</v>
      </c>
      <c r="O150" s="37">
        <v>1125</v>
      </c>
      <c r="P150" s="38">
        <f t="shared" si="18"/>
        <v>1.125</v>
      </c>
      <c r="Q150" s="37">
        <v>2</v>
      </c>
      <c r="R150" s="4">
        <f t="shared" si="19"/>
        <v>7.5820000000000007</v>
      </c>
      <c r="S150" s="7">
        <v>1516.4</v>
      </c>
      <c r="T150" s="8">
        <f t="shared" si="20"/>
        <v>1.5164000000000002</v>
      </c>
      <c r="U150" s="7">
        <v>5</v>
      </c>
      <c r="V150" s="3">
        <v>25.3</v>
      </c>
      <c r="W150" s="3">
        <v>11.188000000000001</v>
      </c>
      <c r="X150" s="3">
        <v>5.0839999999999996</v>
      </c>
      <c r="Y150" s="3">
        <v>2.7370000000000001</v>
      </c>
      <c r="Z150" s="3">
        <v>2.78</v>
      </c>
      <c r="AA150" s="3">
        <v>0.79</v>
      </c>
      <c r="AB150" s="3">
        <v>71.05</v>
      </c>
      <c r="AC150" s="3">
        <v>92.14</v>
      </c>
      <c r="AD150" s="3">
        <v>45.71</v>
      </c>
      <c r="AE150" s="3">
        <v>69.58</v>
      </c>
      <c r="AF150" s="3">
        <v>91.56</v>
      </c>
      <c r="AG150" s="3">
        <v>44.07</v>
      </c>
      <c r="AH150" s="3">
        <v>11</v>
      </c>
      <c r="AI150" s="3">
        <v>0.18</v>
      </c>
      <c r="AJ150" s="3">
        <v>60.79</v>
      </c>
      <c r="BB150" s="12"/>
    </row>
    <row r="151" spans="1:54" x14ac:dyDescent="0.35">
      <c r="A151" s="3">
        <v>162</v>
      </c>
      <c r="B151" s="3">
        <v>7</v>
      </c>
      <c r="C151" s="3">
        <v>7</v>
      </c>
      <c r="D151" s="3">
        <v>2</v>
      </c>
      <c r="E151" s="3">
        <v>67</v>
      </c>
      <c r="F151" s="3">
        <v>1493.65</v>
      </c>
      <c r="G151" s="4">
        <f t="shared" si="16"/>
        <v>1.4936500000000001</v>
      </c>
      <c r="H151" s="4">
        <f t="shared" si="22"/>
        <v>43.315850000000005</v>
      </c>
      <c r="I151" s="3">
        <v>29</v>
      </c>
      <c r="J151" s="4">
        <f t="shared" si="17"/>
        <v>0</v>
      </c>
      <c r="K151" s="5">
        <v>0</v>
      </c>
      <c r="L151" s="6">
        <f t="shared" si="23"/>
        <v>0</v>
      </c>
      <c r="M151" s="5">
        <v>0</v>
      </c>
      <c r="N151" s="4">
        <f t="shared" si="21"/>
        <v>2.0219999999999998</v>
      </c>
      <c r="O151" s="37">
        <v>1011</v>
      </c>
      <c r="P151" s="38">
        <f t="shared" si="18"/>
        <v>1.0109999999999999</v>
      </c>
      <c r="Q151" s="37">
        <v>2</v>
      </c>
      <c r="R151" s="4">
        <f t="shared" si="19"/>
        <v>7.3079999999999998</v>
      </c>
      <c r="S151" s="7">
        <v>1827</v>
      </c>
      <c r="T151" s="8">
        <f t="shared" si="20"/>
        <v>1.827</v>
      </c>
      <c r="U151" s="7">
        <v>4</v>
      </c>
      <c r="V151" s="3">
        <v>26.33</v>
      </c>
      <c r="W151" s="3">
        <v>11.606999999999999</v>
      </c>
      <c r="X151" s="3">
        <v>6.4539999999999997</v>
      </c>
      <c r="Y151" s="3">
        <v>2.6970000000000001</v>
      </c>
      <c r="Z151" s="3">
        <v>3.83</v>
      </c>
      <c r="AA151" s="3">
        <v>0.84</v>
      </c>
      <c r="AB151" s="3">
        <v>80.22</v>
      </c>
      <c r="AC151" s="3">
        <v>83.84</v>
      </c>
      <c r="AD151" s="3">
        <v>52.61</v>
      </c>
      <c r="AE151" s="3">
        <v>75.28</v>
      </c>
      <c r="AF151" s="3">
        <v>93.04</v>
      </c>
      <c r="AG151" s="3">
        <v>49.52</v>
      </c>
      <c r="AH151" s="3">
        <v>13.3</v>
      </c>
      <c r="AI151" s="3">
        <v>0.15</v>
      </c>
      <c r="AJ151" s="3">
        <v>86.46</v>
      </c>
      <c r="BB151" s="12"/>
    </row>
    <row r="152" spans="1:54" x14ac:dyDescent="0.35">
      <c r="G152" s="27"/>
      <c r="H152" s="27"/>
      <c r="J152" s="27"/>
      <c r="K152" s="2"/>
      <c r="L152" s="27"/>
      <c r="M152" s="2"/>
      <c r="R152" s="27"/>
      <c r="S152" s="2"/>
      <c r="T152" s="27"/>
      <c r="U152" s="2"/>
      <c r="BB152" s="12"/>
    </row>
    <row r="153" spans="1:54" x14ac:dyDescent="0.35">
      <c r="G153" s="27"/>
      <c r="H153" s="27"/>
      <c r="J153" s="27"/>
      <c r="K153" s="2"/>
      <c r="L153" s="27"/>
      <c r="M153" s="2"/>
      <c r="R153" s="27"/>
      <c r="S153" s="2"/>
      <c r="T153" s="27"/>
      <c r="U153" s="2"/>
      <c r="BB153" s="12"/>
    </row>
    <row r="154" spans="1:54" x14ac:dyDescent="0.35">
      <c r="G154" s="27"/>
      <c r="H154" s="27"/>
      <c r="J154" s="27"/>
      <c r="K154" s="2"/>
      <c r="L154" s="27"/>
      <c r="M154" s="2"/>
      <c r="R154" s="27"/>
      <c r="S154" s="2"/>
      <c r="T154" s="27"/>
      <c r="U154" s="2"/>
      <c r="BB154" s="12"/>
    </row>
    <row r="155" spans="1:54" x14ac:dyDescent="0.35">
      <c r="G155" s="27"/>
      <c r="H155" s="27"/>
      <c r="J155" s="27"/>
      <c r="K155" s="2"/>
      <c r="L155" s="27"/>
      <c r="M155" s="2"/>
      <c r="R155" s="27"/>
      <c r="S155" s="2"/>
      <c r="T155" s="27"/>
      <c r="U155" s="2"/>
      <c r="BB155" s="12"/>
    </row>
    <row r="156" spans="1:54" x14ac:dyDescent="0.35">
      <c r="G156" s="27"/>
      <c r="H156" s="27"/>
      <c r="J156" s="27"/>
      <c r="K156" s="2"/>
      <c r="L156" s="27"/>
      <c r="M156" s="2"/>
      <c r="R156" s="27"/>
      <c r="S156" s="2"/>
      <c r="T156" s="27"/>
      <c r="U156" s="2"/>
      <c r="BB156" s="12"/>
    </row>
    <row r="157" spans="1:54" x14ac:dyDescent="0.35">
      <c r="G157" s="27"/>
      <c r="H157" s="27"/>
      <c r="J157" s="27"/>
      <c r="K157" s="2"/>
      <c r="L157" s="27"/>
      <c r="M157" s="2"/>
      <c r="R157" s="27"/>
      <c r="S157" s="2"/>
      <c r="T157" s="27"/>
      <c r="U157" s="2"/>
      <c r="BB157" s="12"/>
    </row>
    <row r="158" spans="1:54" x14ac:dyDescent="0.35">
      <c r="G158" s="27"/>
      <c r="H158" s="27"/>
      <c r="J158" s="27"/>
      <c r="K158" s="2"/>
      <c r="L158" s="27"/>
      <c r="M158" s="2"/>
      <c r="R158" s="27"/>
      <c r="S158" s="2"/>
      <c r="T158" s="27"/>
      <c r="U158" s="2"/>
      <c r="BB158" s="12"/>
    </row>
    <row r="159" spans="1:54" x14ac:dyDescent="0.35">
      <c r="G159" s="27"/>
      <c r="H159" s="27"/>
      <c r="J159" s="27"/>
      <c r="K159" s="2"/>
      <c r="L159" s="27"/>
      <c r="M159" s="2"/>
      <c r="R159" s="27"/>
      <c r="S159" s="2"/>
      <c r="T159" s="27"/>
      <c r="U159" s="2"/>
      <c r="BB159" s="12"/>
    </row>
    <row r="160" spans="1:54" x14ac:dyDescent="0.35">
      <c r="G160" s="27"/>
      <c r="H160" s="27"/>
      <c r="J160" s="27"/>
      <c r="K160" s="2"/>
      <c r="L160" s="27"/>
      <c r="M160" s="2"/>
      <c r="R160" s="27"/>
      <c r="S160" s="2"/>
      <c r="T160" s="27"/>
      <c r="U160" s="2"/>
      <c r="BB160" s="12"/>
    </row>
    <row r="161" spans="7:56" x14ac:dyDescent="0.35">
      <c r="G161" s="27"/>
      <c r="H161" s="27"/>
      <c r="J161" s="27"/>
      <c r="K161" s="2"/>
      <c r="L161" s="27"/>
      <c r="M161" s="2"/>
      <c r="R161" s="27"/>
      <c r="S161" s="2"/>
      <c r="T161" s="27"/>
      <c r="U161" s="2"/>
      <c r="BB161" s="12"/>
    </row>
    <row r="162" spans="7:56" x14ac:dyDescent="0.35">
      <c r="G162" s="27"/>
      <c r="H162" s="27"/>
      <c r="J162" s="27"/>
      <c r="K162" s="2"/>
      <c r="L162" s="27"/>
      <c r="M162" s="2"/>
      <c r="R162" s="27"/>
      <c r="S162" s="2"/>
      <c r="T162" s="27"/>
      <c r="U162" s="2"/>
      <c r="BB162" s="12"/>
    </row>
    <row r="163" spans="7:56" x14ac:dyDescent="0.35">
      <c r="G163" s="27"/>
      <c r="H163" s="27"/>
      <c r="J163" s="27"/>
      <c r="K163" s="2"/>
      <c r="L163" s="27"/>
      <c r="M163" s="2"/>
      <c r="R163" s="27"/>
      <c r="S163" s="2"/>
      <c r="T163" s="27"/>
      <c r="U163" s="2"/>
      <c r="BB163" s="12"/>
    </row>
    <row r="164" spans="7:56" x14ac:dyDescent="0.35">
      <c r="G164" s="27"/>
      <c r="H164" s="27"/>
      <c r="J164" s="27"/>
      <c r="K164" s="2"/>
      <c r="L164" s="27"/>
      <c r="M164" s="2"/>
      <c r="R164" s="27"/>
      <c r="S164" s="2"/>
      <c r="T164" s="27"/>
      <c r="U164" s="2"/>
      <c r="BB164" s="22"/>
      <c r="BC164" s="23"/>
      <c r="BD164" s="23"/>
    </row>
    <row r="165" spans="7:56" x14ac:dyDescent="0.35">
      <c r="G165" s="27"/>
      <c r="H165" s="27"/>
      <c r="J165" s="27"/>
      <c r="K165" s="2"/>
      <c r="L165" s="27"/>
      <c r="M165" s="2"/>
      <c r="R165" s="27"/>
      <c r="S165" s="2"/>
      <c r="T165" s="27"/>
      <c r="U165" s="2"/>
      <c r="BB165" s="12"/>
    </row>
    <row r="166" spans="7:56" x14ac:dyDescent="0.35">
      <c r="G166" s="27"/>
      <c r="H166" s="27"/>
      <c r="J166" s="27"/>
      <c r="K166" s="2"/>
      <c r="L166" s="27"/>
      <c r="M166" s="2"/>
      <c r="R166" s="27"/>
      <c r="S166" s="2"/>
      <c r="T166" s="27"/>
      <c r="U166" s="2"/>
      <c r="BB166" s="12"/>
    </row>
    <row r="167" spans="7:56" x14ac:dyDescent="0.35">
      <c r="G167" s="27"/>
      <c r="H167" s="27"/>
      <c r="J167" s="27"/>
      <c r="K167" s="2"/>
      <c r="L167" s="27"/>
      <c r="M167" s="2"/>
      <c r="R167" s="27"/>
      <c r="S167" s="2"/>
      <c r="T167" s="27"/>
      <c r="U167" s="2"/>
      <c r="BB167" s="12"/>
    </row>
    <row r="168" spans="7:56" x14ac:dyDescent="0.35">
      <c r="G168" s="27"/>
      <c r="H168" s="27"/>
      <c r="J168" s="27"/>
      <c r="K168" s="2"/>
      <c r="L168" s="27"/>
      <c r="M168" s="2"/>
      <c r="R168" s="27"/>
      <c r="S168" s="2"/>
      <c r="T168" s="27"/>
      <c r="U168" s="2"/>
      <c r="BB168" s="12"/>
    </row>
    <row r="169" spans="7:56" x14ac:dyDescent="0.35">
      <c r="G169" s="27"/>
      <c r="H169" s="27"/>
      <c r="J169" s="27"/>
      <c r="K169" s="2"/>
      <c r="L169" s="27"/>
      <c r="M169" s="2"/>
      <c r="R169" s="27"/>
      <c r="S169" s="2"/>
      <c r="T169" s="27"/>
      <c r="U169" s="2"/>
      <c r="BB169" s="12"/>
    </row>
    <row r="170" spans="7:56" x14ac:dyDescent="0.35">
      <c r="G170" s="27"/>
      <c r="H170" s="27"/>
      <c r="J170" s="27"/>
      <c r="K170" s="2"/>
      <c r="L170" s="27"/>
      <c r="M170" s="2"/>
      <c r="R170" s="27"/>
      <c r="S170" s="2"/>
      <c r="T170" s="27"/>
      <c r="U170" s="2"/>
      <c r="BB170" s="12"/>
    </row>
    <row r="171" spans="7:56" x14ac:dyDescent="0.35">
      <c r="G171" s="27"/>
      <c r="H171" s="27"/>
      <c r="J171" s="27"/>
      <c r="K171" s="2"/>
      <c r="L171" s="27"/>
      <c r="M171" s="2"/>
      <c r="R171" s="27"/>
      <c r="S171" s="2"/>
      <c r="T171" s="27"/>
      <c r="U171" s="2"/>
      <c r="BB171" s="12"/>
    </row>
    <row r="172" spans="7:56" x14ac:dyDescent="0.35">
      <c r="G172" s="27"/>
      <c r="H172" s="27"/>
      <c r="J172" s="27"/>
      <c r="K172" s="2"/>
      <c r="L172" s="27"/>
      <c r="M172" s="2"/>
      <c r="R172" s="27"/>
      <c r="S172" s="2"/>
      <c r="T172" s="27"/>
      <c r="U172" s="2"/>
      <c r="BB172" s="12"/>
    </row>
    <row r="173" spans="7:56" x14ac:dyDescent="0.35">
      <c r="G173" s="27"/>
      <c r="H173" s="27"/>
      <c r="J173" s="27"/>
      <c r="K173" s="2"/>
      <c r="L173" s="27"/>
      <c r="M173" s="2"/>
      <c r="R173" s="27"/>
      <c r="S173" s="2"/>
      <c r="T173" s="27"/>
      <c r="U173" s="2"/>
      <c r="BB173" s="12"/>
    </row>
    <row r="174" spans="7:56" x14ac:dyDescent="0.35">
      <c r="G174" s="27"/>
      <c r="H174" s="27"/>
      <c r="J174" s="27"/>
      <c r="K174" s="2"/>
      <c r="L174" s="27"/>
      <c r="M174" s="2"/>
      <c r="R174" s="27"/>
      <c r="S174" s="2"/>
      <c r="T174" s="27"/>
      <c r="U174" s="2"/>
      <c r="BB174" s="12"/>
    </row>
    <row r="175" spans="7:56" x14ac:dyDescent="0.35">
      <c r="G175" s="27"/>
      <c r="H175" s="27"/>
      <c r="J175" s="27"/>
      <c r="K175" s="2"/>
      <c r="L175" s="27"/>
      <c r="M175" s="2"/>
      <c r="R175" s="27"/>
      <c r="S175" s="2"/>
      <c r="T175" s="27"/>
      <c r="U175" s="2"/>
      <c r="BB175" s="12"/>
    </row>
    <row r="176" spans="7:56" x14ac:dyDescent="0.35">
      <c r="G176" s="27"/>
      <c r="H176" s="27"/>
      <c r="J176" s="27"/>
      <c r="K176" s="2"/>
      <c r="L176" s="27"/>
      <c r="M176" s="2"/>
      <c r="R176" s="27"/>
      <c r="S176" s="2"/>
      <c r="T176" s="27"/>
      <c r="U176" s="2"/>
      <c r="BB176" s="12"/>
    </row>
    <row r="177" spans="7:54" x14ac:dyDescent="0.35">
      <c r="G177" s="27"/>
      <c r="H177" s="27"/>
      <c r="J177" s="27"/>
      <c r="K177" s="2"/>
      <c r="L177" s="27"/>
      <c r="M177" s="2"/>
      <c r="R177" s="27"/>
      <c r="S177" s="2"/>
      <c r="T177" s="27"/>
      <c r="U177" s="2"/>
      <c r="BB177" s="12"/>
    </row>
    <row r="178" spans="7:54" x14ac:dyDescent="0.35">
      <c r="G178" s="27"/>
      <c r="H178" s="27"/>
      <c r="J178" s="27"/>
      <c r="K178" s="2"/>
      <c r="L178" s="27"/>
      <c r="M178" s="2"/>
      <c r="R178" s="27"/>
      <c r="S178" s="2"/>
      <c r="T178" s="27"/>
      <c r="U178" s="2"/>
      <c r="BB178" s="12"/>
    </row>
    <row r="179" spans="7:54" x14ac:dyDescent="0.35">
      <c r="G179" s="27"/>
      <c r="H179" s="27"/>
      <c r="J179" s="27"/>
      <c r="K179" s="2"/>
      <c r="L179" s="27"/>
      <c r="M179" s="2"/>
      <c r="R179" s="27"/>
      <c r="S179" s="2"/>
      <c r="T179" s="27"/>
      <c r="U179" s="2"/>
      <c r="BB179" s="12"/>
    </row>
    <row r="180" spans="7:54" x14ac:dyDescent="0.35">
      <c r="G180" s="27"/>
      <c r="H180" s="27"/>
      <c r="J180" s="27"/>
      <c r="K180" s="2"/>
      <c r="L180" s="27"/>
      <c r="M180" s="2"/>
      <c r="R180" s="27"/>
      <c r="S180" s="2"/>
      <c r="T180" s="27"/>
      <c r="U180" s="2"/>
      <c r="BB180" s="12"/>
    </row>
    <row r="181" spans="7:54" x14ac:dyDescent="0.35">
      <c r="G181" s="27"/>
      <c r="H181" s="27"/>
      <c r="J181" s="27"/>
      <c r="K181" s="2"/>
      <c r="L181" s="27"/>
      <c r="M181" s="2"/>
      <c r="R181" s="27"/>
      <c r="S181" s="2"/>
      <c r="T181" s="27"/>
      <c r="U181" s="2"/>
      <c r="BB181" s="12"/>
    </row>
    <row r="182" spans="7:54" x14ac:dyDescent="0.35">
      <c r="G182" s="27"/>
      <c r="H182" s="27"/>
      <c r="J182" s="27"/>
      <c r="K182" s="2"/>
      <c r="L182" s="27"/>
      <c r="M182" s="2"/>
      <c r="R182" s="27"/>
      <c r="S182" s="2"/>
      <c r="T182" s="27"/>
      <c r="U182" s="2"/>
      <c r="BB182" s="12"/>
    </row>
    <row r="183" spans="7:54" x14ac:dyDescent="0.35">
      <c r="G183" s="27"/>
      <c r="H183" s="27"/>
      <c r="J183" s="27"/>
      <c r="K183" s="2"/>
      <c r="L183" s="27"/>
      <c r="M183" s="2"/>
      <c r="R183" s="27"/>
      <c r="S183" s="2"/>
      <c r="T183" s="27"/>
      <c r="U183" s="2"/>
      <c r="BB183" s="12"/>
    </row>
    <row r="184" spans="7:54" x14ac:dyDescent="0.35">
      <c r="G184" s="27"/>
      <c r="H184" s="27"/>
      <c r="J184" s="27"/>
      <c r="K184" s="2"/>
      <c r="L184" s="27"/>
      <c r="M184" s="2"/>
      <c r="R184" s="27"/>
      <c r="S184" s="2"/>
      <c r="T184" s="27"/>
      <c r="U184" s="2"/>
      <c r="BB184" s="12"/>
    </row>
    <row r="185" spans="7:54" x14ac:dyDescent="0.35">
      <c r="G185" s="27"/>
      <c r="H185" s="27"/>
      <c r="J185" s="27"/>
      <c r="K185" s="2"/>
      <c r="L185" s="27"/>
      <c r="M185" s="2"/>
      <c r="R185" s="27"/>
      <c r="S185" s="2"/>
      <c r="T185" s="27"/>
      <c r="U185" s="2"/>
      <c r="BB185" s="12"/>
    </row>
    <row r="186" spans="7:54" x14ac:dyDescent="0.35">
      <c r="G186" s="27"/>
      <c r="H186" s="27"/>
      <c r="J186" s="27"/>
      <c r="K186" s="2"/>
      <c r="L186" s="27"/>
      <c r="M186" s="2"/>
      <c r="R186" s="27"/>
      <c r="S186" s="2"/>
      <c r="T186" s="27"/>
      <c r="U186" s="2"/>
      <c r="BB186" s="12"/>
    </row>
    <row r="187" spans="7:54" x14ac:dyDescent="0.35">
      <c r="G187" s="27"/>
      <c r="H187" s="27"/>
      <c r="J187" s="27"/>
      <c r="K187" s="2"/>
      <c r="L187" s="27"/>
      <c r="M187" s="2"/>
      <c r="R187" s="27"/>
      <c r="S187" s="2"/>
      <c r="T187" s="27"/>
      <c r="U187" s="2"/>
      <c r="BB187" s="12"/>
    </row>
    <row r="188" spans="7:54" x14ac:dyDescent="0.35">
      <c r="G188" s="27"/>
      <c r="H188" s="27"/>
      <c r="J188" s="27"/>
      <c r="K188" s="2"/>
      <c r="L188" s="27"/>
      <c r="M188" s="2"/>
      <c r="R188" s="27"/>
      <c r="S188" s="2"/>
      <c r="T188" s="27"/>
      <c r="U188" s="2"/>
      <c r="BB188" s="12"/>
    </row>
    <row r="189" spans="7:54" x14ac:dyDescent="0.35">
      <c r="G189" s="27"/>
      <c r="H189" s="27"/>
      <c r="J189" s="27"/>
      <c r="K189" s="2"/>
      <c r="L189" s="27"/>
      <c r="M189" s="2"/>
      <c r="R189" s="27"/>
      <c r="S189" s="2"/>
      <c r="T189" s="27"/>
      <c r="U189" s="2"/>
      <c r="BB189" s="12"/>
    </row>
    <row r="190" spans="7:54" x14ac:dyDescent="0.35">
      <c r="G190" s="27"/>
      <c r="H190" s="27"/>
      <c r="J190" s="27"/>
      <c r="K190" s="2"/>
      <c r="L190" s="27"/>
      <c r="M190" s="2"/>
      <c r="R190" s="27"/>
      <c r="S190" s="2"/>
      <c r="T190" s="27"/>
      <c r="U190" s="2"/>
      <c r="BB190" s="12"/>
    </row>
    <row r="191" spans="7:54" x14ac:dyDescent="0.35">
      <c r="G191" s="27"/>
      <c r="H191" s="27"/>
      <c r="J191" s="27"/>
      <c r="K191" s="2"/>
      <c r="L191" s="27"/>
      <c r="M191" s="2"/>
      <c r="R191" s="27"/>
      <c r="S191" s="2"/>
      <c r="T191" s="27"/>
      <c r="U191" s="2"/>
      <c r="BB191" s="12"/>
    </row>
    <row r="192" spans="7:54" x14ac:dyDescent="0.35">
      <c r="G192" s="27"/>
      <c r="H192" s="27"/>
      <c r="J192" s="27"/>
      <c r="K192" s="2"/>
      <c r="L192" s="27"/>
      <c r="M192" s="2"/>
      <c r="R192" s="27"/>
      <c r="S192" s="2"/>
      <c r="T192" s="27"/>
      <c r="U192" s="2"/>
      <c r="BB192" s="12"/>
    </row>
    <row r="193" spans="7:54" x14ac:dyDescent="0.35">
      <c r="G193" s="27"/>
      <c r="H193" s="27"/>
      <c r="J193" s="27"/>
      <c r="K193" s="2"/>
      <c r="L193" s="27"/>
      <c r="M193" s="2"/>
      <c r="R193" s="27"/>
      <c r="S193" s="2"/>
      <c r="T193" s="27"/>
      <c r="U193" s="2"/>
      <c r="BB193" s="12"/>
    </row>
    <row r="194" spans="7:54" x14ac:dyDescent="0.35">
      <c r="G194" s="27"/>
      <c r="H194" s="27"/>
      <c r="J194" s="27"/>
      <c r="K194" s="2"/>
      <c r="L194" s="27"/>
      <c r="M194" s="2"/>
      <c r="R194" s="27"/>
      <c r="S194" s="2"/>
      <c r="T194" s="27"/>
      <c r="U194" s="2"/>
      <c r="BB194" s="12"/>
    </row>
    <row r="195" spans="7:54" x14ac:dyDescent="0.35">
      <c r="G195" s="27"/>
      <c r="H195" s="27"/>
      <c r="J195" s="27"/>
      <c r="K195" s="2"/>
      <c r="L195" s="27"/>
      <c r="M195" s="2"/>
      <c r="R195" s="27"/>
      <c r="S195" s="2"/>
      <c r="T195" s="27"/>
      <c r="U195" s="2"/>
      <c r="BB195" s="12"/>
    </row>
    <row r="196" spans="7:54" x14ac:dyDescent="0.35">
      <c r="G196" s="27"/>
      <c r="H196" s="27"/>
      <c r="J196" s="27"/>
      <c r="K196" s="2"/>
      <c r="L196" s="27"/>
      <c r="M196" s="2"/>
      <c r="R196" s="27"/>
      <c r="S196" s="2"/>
      <c r="T196" s="27"/>
      <c r="U196" s="2"/>
      <c r="BB196" s="12"/>
    </row>
    <row r="197" spans="7:54" x14ac:dyDescent="0.35">
      <c r="G197" s="27"/>
      <c r="H197" s="27"/>
      <c r="J197" s="27"/>
      <c r="K197" s="2"/>
      <c r="L197" s="27"/>
      <c r="M197" s="2"/>
      <c r="R197" s="27"/>
      <c r="S197" s="2"/>
      <c r="T197" s="27"/>
      <c r="U197" s="2"/>
      <c r="BB197" s="12"/>
    </row>
    <row r="198" spans="7:54" x14ac:dyDescent="0.35">
      <c r="G198" s="27"/>
      <c r="H198" s="27"/>
      <c r="J198" s="27"/>
      <c r="K198" s="2"/>
      <c r="L198" s="27"/>
      <c r="M198" s="2"/>
      <c r="R198" s="27"/>
      <c r="S198" s="2"/>
      <c r="T198" s="27"/>
      <c r="U198" s="2"/>
      <c r="BB198" s="12"/>
    </row>
    <row r="199" spans="7:54" x14ac:dyDescent="0.35">
      <c r="G199" s="27"/>
      <c r="H199" s="27"/>
      <c r="J199" s="27"/>
      <c r="K199" s="2"/>
      <c r="L199" s="27"/>
      <c r="M199" s="2"/>
      <c r="R199" s="27"/>
      <c r="S199" s="2"/>
      <c r="T199" s="27"/>
      <c r="U199" s="2"/>
      <c r="BB199" s="12"/>
    </row>
    <row r="200" spans="7:54" x14ac:dyDescent="0.35">
      <c r="G200" s="27"/>
      <c r="H200" s="27"/>
      <c r="J200" s="27"/>
      <c r="K200" s="2"/>
      <c r="L200" s="27"/>
      <c r="M200" s="2"/>
      <c r="R200" s="27"/>
      <c r="S200" s="2"/>
      <c r="T200" s="27"/>
      <c r="U200" s="2"/>
      <c r="BB200" s="12"/>
    </row>
    <row r="201" spans="7:54" x14ac:dyDescent="0.35">
      <c r="G201" s="27"/>
      <c r="H201" s="27"/>
      <c r="J201" s="27"/>
      <c r="K201" s="2"/>
      <c r="L201" s="27"/>
      <c r="M201" s="2"/>
      <c r="R201" s="27"/>
      <c r="S201" s="2"/>
      <c r="T201" s="27"/>
      <c r="U201" s="2"/>
      <c r="BB201" s="12"/>
    </row>
    <row r="202" spans="7:54" x14ac:dyDescent="0.35">
      <c r="G202" s="27"/>
      <c r="H202" s="27"/>
      <c r="J202" s="27"/>
      <c r="K202" s="2"/>
      <c r="L202" s="27"/>
      <c r="M202" s="2"/>
      <c r="R202" s="27"/>
      <c r="S202" s="2"/>
      <c r="T202" s="27"/>
      <c r="U202" s="2"/>
      <c r="BB202" s="12"/>
    </row>
    <row r="203" spans="7:54" x14ac:dyDescent="0.35">
      <c r="G203" s="27"/>
      <c r="H203" s="27"/>
      <c r="J203" s="27"/>
      <c r="K203" s="2"/>
      <c r="L203" s="27"/>
      <c r="M203" s="2"/>
      <c r="R203" s="27"/>
      <c r="S203" s="2"/>
      <c r="T203" s="27"/>
      <c r="U203" s="2"/>
      <c r="BB203" s="12"/>
    </row>
    <row r="204" spans="7:54" x14ac:dyDescent="0.35">
      <c r="G204" s="27"/>
      <c r="H204" s="27"/>
      <c r="J204" s="27"/>
      <c r="K204" s="2"/>
      <c r="L204" s="27"/>
      <c r="M204" s="2"/>
      <c r="R204" s="27"/>
      <c r="S204" s="2"/>
      <c r="T204" s="27"/>
      <c r="U204" s="2"/>
      <c r="BB204" s="12"/>
    </row>
    <row r="205" spans="7:54" x14ac:dyDescent="0.35">
      <c r="G205" s="27"/>
      <c r="H205" s="27"/>
      <c r="J205" s="27"/>
      <c r="K205" s="2"/>
      <c r="L205" s="27"/>
      <c r="M205" s="2"/>
      <c r="R205" s="27"/>
      <c r="S205" s="2"/>
      <c r="T205" s="27"/>
      <c r="U205" s="2"/>
      <c r="BB205" s="12"/>
    </row>
    <row r="206" spans="7:54" x14ac:dyDescent="0.35">
      <c r="G206" s="27"/>
      <c r="H206" s="27"/>
      <c r="J206" s="27"/>
      <c r="K206" s="2"/>
      <c r="L206" s="27"/>
      <c r="M206" s="2"/>
      <c r="R206" s="27"/>
      <c r="S206" s="2"/>
      <c r="T206" s="27"/>
      <c r="U206" s="2"/>
      <c r="BB206" s="12"/>
    </row>
    <row r="207" spans="7:54" x14ac:dyDescent="0.35">
      <c r="G207" s="27"/>
      <c r="H207" s="27"/>
      <c r="J207" s="27"/>
      <c r="K207" s="2"/>
      <c r="L207" s="27"/>
      <c r="M207" s="2"/>
      <c r="R207" s="27"/>
      <c r="S207" s="2"/>
      <c r="T207" s="27"/>
      <c r="U207" s="2"/>
      <c r="BB207" s="12"/>
    </row>
    <row r="208" spans="7:54" x14ac:dyDescent="0.35">
      <c r="G208" s="27"/>
      <c r="H208" s="27"/>
      <c r="J208" s="27"/>
      <c r="K208" s="2"/>
      <c r="L208" s="27"/>
      <c r="M208" s="2"/>
      <c r="R208" s="27"/>
      <c r="S208" s="2"/>
      <c r="T208" s="27"/>
      <c r="U208" s="2"/>
      <c r="BB208" s="12"/>
    </row>
    <row r="209" spans="7:54" x14ac:dyDescent="0.35">
      <c r="G209" s="27"/>
      <c r="H209" s="27"/>
      <c r="J209" s="27"/>
      <c r="K209" s="2"/>
      <c r="L209" s="27"/>
      <c r="M209" s="2"/>
      <c r="R209" s="27"/>
      <c r="S209" s="2"/>
      <c r="T209" s="27"/>
      <c r="U209" s="2"/>
      <c r="BB209" s="12"/>
    </row>
    <row r="210" spans="7:54" x14ac:dyDescent="0.35">
      <c r="G210" s="27"/>
      <c r="H210" s="27"/>
      <c r="J210" s="27"/>
      <c r="K210" s="2"/>
      <c r="L210" s="27"/>
      <c r="M210" s="2"/>
      <c r="R210" s="27"/>
      <c r="S210" s="2"/>
      <c r="T210" s="27"/>
      <c r="U210" s="2"/>
      <c r="BB210" s="12"/>
    </row>
    <row r="211" spans="7:54" x14ac:dyDescent="0.35">
      <c r="G211" s="27"/>
      <c r="H211" s="27"/>
      <c r="J211" s="27"/>
      <c r="K211" s="2"/>
      <c r="L211" s="27"/>
      <c r="M211" s="2"/>
      <c r="R211" s="27"/>
      <c r="S211" s="2"/>
      <c r="T211" s="27"/>
      <c r="U211" s="2"/>
      <c r="BB211" s="12"/>
    </row>
    <row r="212" spans="7:54" x14ac:dyDescent="0.35">
      <c r="G212" s="27"/>
      <c r="H212" s="27"/>
      <c r="J212" s="27"/>
      <c r="K212" s="2"/>
      <c r="L212" s="27"/>
      <c r="M212" s="2"/>
      <c r="R212" s="27"/>
      <c r="S212" s="2"/>
      <c r="T212" s="27"/>
      <c r="U212" s="2"/>
      <c r="BB212" s="12"/>
    </row>
    <row r="213" spans="7:54" x14ac:dyDescent="0.35">
      <c r="G213" s="27"/>
      <c r="H213" s="27"/>
      <c r="J213" s="27"/>
      <c r="K213" s="2"/>
      <c r="L213" s="27"/>
      <c r="M213" s="2"/>
      <c r="R213" s="27"/>
      <c r="S213" s="2"/>
      <c r="T213" s="27"/>
      <c r="U213" s="2"/>
      <c r="BB213" s="12"/>
    </row>
    <row r="214" spans="7:54" x14ac:dyDescent="0.35">
      <c r="G214" s="27"/>
      <c r="H214" s="27"/>
      <c r="J214" s="27"/>
      <c r="K214" s="2"/>
      <c r="L214" s="27"/>
      <c r="M214" s="2"/>
      <c r="R214" s="27"/>
      <c r="S214" s="2"/>
      <c r="T214" s="27"/>
      <c r="U214" s="2"/>
      <c r="BB214" s="12"/>
    </row>
    <row r="215" spans="7:54" x14ac:dyDescent="0.35">
      <c r="G215" s="27"/>
      <c r="H215" s="27"/>
      <c r="J215" s="27"/>
      <c r="K215" s="2"/>
      <c r="L215" s="27"/>
      <c r="M215" s="2"/>
      <c r="R215" s="27"/>
      <c r="S215" s="2"/>
      <c r="T215" s="27"/>
      <c r="U215" s="2"/>
      <c r="BB215" s="12"/>
    </row>
    <row r="216" spans="7:54" x14ac:dyDescent="0.35">
      <c r="G216" s="27"/>
      <c r="H216" s="27"/>
      <c r="J216" s="27"/>
      <c r="K216" s="2"/>
      <c r="L216" s="27"/>
      <c r="M216" s="2"/>
      <c r="R216" s="27"/>
      <c r="S216" s="2"/>
      <c r="T216" s="27"/>
      <c r="U216" s="2"/>
      <c r="BB216" s="12"/>
    </row>
    <row r="217" spans="7:54" x14ac:dyDescent="0.35">
      <c r="G217" s="27"/>
      <c r="H217" s="27"/>
      <c r="J217" s="27"/>
      <c r="K217" s="2"/>
      <c r="L217" s="27"/>
      <c r="M217" s="2"/>
      <c r="R217" s="27"/>
      <c r="S217" s="2"/>
      <c r="T217" s="27"/>
      <c r="U217" s="2"/>
      <c r="BB217" s="12"/>
    </row>
    <row r="218" spans="7:54" x14ac:dyDescent="0.35">
      <c r="G218" s="27"/>
      <c r="H218" s="27"/>
      <c r="J218" s="27"/>
      <c r="K218" s="2"/>
      <c r="L218" s="27"/>
      <c r="M218" s="2"/>
      <c r="R218" s="27"/>
      <c r="S218" s="2"/>
      <c r="T218" s="27"/>
      <c r="U218" s="2"/>
      <c r="BB218" s="12"/>
    </row>
    <row r="219" spans="7:54" x14ac:dyDescent="0.35">
      <c r="G219" s="27"/>
      <c r="H219" s="27"/>
      <c r="J219" s="27"/>
      <c r="K219" s="2"/>
      <c r="L219" s="27"/>
      <c r="M219" s="2"/>
      <c r="R219" s="27"/>
      <c r="S219" s="2"/>
      <c r="T219" s="27"/>
      <c r="U219" s="2"/>
      <c r="BB219" s="12"/>
    </row>
    <row r="220" spans="7:54" x14ac:dyDescent="0.35">
      <c r="G220" s="27"/>
      <c r="H220" s="27"/>
      <c r="J220" s="27"/>
      <c r="K220" s="2"/>
      <c r="L220" s="27"/>
      <c r="M220" s="2"/>
      <c r="R220" s="27"/>
      <c r="S220" s="2"/>
      <c r="T220" s="27"/>
      <c r="U220" s="2"/>
      <c r="BB220" s="12"/>
    </row>
    <row r="221" spans="7:54" x14ac:dyDescent="0.35">
      <c r="G221" s="27"/>
      <c r="H221" s="27"/>
      <c r="J221" s="27"/>
      <c r="K221" s="2"/>
      <c r="L221" s="27"/>
      <c r="M221" s="2"/>
      <c r="R221" s="27"/>
      <c r="S221" s="2"/>
      <c r="T221" s="27"/>
      <c r="U221" s="2"/>
      <c r="BB221" s="12"/>
    </row>
    <row r="222" spans="7:54" x14ac:dyDescent="0.35">
      <c r="G222" s="27"/>
      <c r="H222" s="27"/>
      <c r="J222" s="27"/>
      <c r="K222" s="2"/>
      <c r="L222" s="27"/>
      <c r="M222" s="2"/>
      <c r="R222" s="27"/>
      <c r="S222" s="2"/>
      <c r="T222" s="27"/>
      <c r="U222" s="2"/>
      <c r="BB222" s="12"/>
    </row>
    <row r="223" spans="7:54" x14ac:dyDescent="0.35">
      <c r="G223" s="27"/>
      <c r="H223" s="27"/>
      <c r="J223" s="27"/>
      <c r="K223" s="2"/>
      <c r="L223" s="27"/>
      <c r="M223" s="2"/>
      <c r="R223" s="27"/>
      <c r="S223" s="2"/>
      <c r="T223" s="27"/>
      <c r="U223" s="2"/>
      <c r="BB223" s="12"/>
    </row>
    <row r="224" spans="7:54" x14ac:dyDescent="0.35">
      <c r="G224" s="27"/>
      <c r="H224" s="27"/>
      <c r="J224" s="27"/>
      <c r="K224" s="2"/>
      <c r="L224" s="27"/>
      <c r="M224" s="2"/>
      <c r="R224" s="27"/>
      <c r="S224" s="2"/>
      <c r="T224" s="27"/>
      <c r="U224" s="2"/>
      <c r="BB224" s="12"/>
    </row>
    <row r="225" spans="7:54" x14ac:dyDescent="0.35">
      <c r="G225" s="27"/>
      <c r="H225" s="27"/>
      <c r="J225" s="27"/>
      <c r="K225" s="2"/>
      <c r="L225" s="27"/>
      <c r="M225" s="2"/>
      <c r="R225" s="27"/>
      <c r="S225" s="2"/>
      <c r="T225" s="27"/>
      <c r="U225" s="2"/>
      <c r="BB225" s="12"/>
    </row>
    <row r="226" spans="7:54" x14ac:dyDescent="0.35">
      <c r="G226" s="27"/>
      <c r="H226" s="27"/>
      <c r="J226" s="27"/>
      <c r="K226" s="2"/>
      <c r="L226" s="27"/>
      <c r="M226" s="2"/>
      <c r="R226" s="27"/>
      <c r="S226" s="2"/>
      <c r="T226" s="27"/>
      <c r="U226" s="2"/>
      <c r="BB226" s="12"/>
    </row>
    <row r="227" spans="7:54" x14ac:dyDescent="0.35">
      <c r="G227" s="27"/>
      <c r="H227" s="27"/>
      <c r="J227" s="27"/>
      <c r="K227" s="2"/>
      <c r="L227" s="27"/>
      <c r="M227" s="2"/>
      <c r="R227" s="27"/>
      <c r="S227" s="2"/>
      <c r="T227" s="27"/>
      <c r="U227" s="2"/>
      <c r="BB227" s="12"/>
    </row>
    <row r="228" spans="7:54" x14ac:dyDescent="0.35">
      <c r="G228" s="27"/>
      <c r="H228" s="27"/>
      <c r="J228" s="27"/>
      <c r="K228" s="2"/>
      <c r="L228" s="27"/>
      <c r="M228" s="2"/>
      <c r="R228" s="27"/>
      <c r="S228" s="2"/>
      <c r="T228" s="27"/>
      <c r="U228" s="2"/>
    </row>
    <row r="229" spans="7:54" x14ac:dyDescent="0.35">
      <c r="G229" s="27"/>
      <c r="H229" s="27"/>
      <c r="J229" s="27"/>
      <c r="K229" s="2"/>
      <c r="L229" s="27"/>
      <c r="M229" s="2"/>
      <c r="R229" s="27"/>
      <c r="S229" s="2"/>
      <c r="T229" s="27"/>
      <c r="U229" s="2"/>
    </row>
    <row r="230" spans="7:54" x14ac:dyDescent="0.35">
      <c r="G230" s="27"/>
      <c r="H230" s="27"/>
      <c r="J230" s="27"/>
      <c r="K230" s="2"/>
      <c r="L230" s="27"/>
      <c r="M230" s="2"/>
      <c r="R230" s="27"/>
      <c r="S230" s="2"/>
      <c r="T230" s="27"/>
      <c r="U230" s="2"/>
    </row>
    <row r="231" spans="7:54" x14ac:dyDescent="0.35">
      <c r="G231" s="27"/>
      <c r="H231" s="27"/>
      <c r="J231" s="27"/>
      <c r="K231" s="2"/>
      <c r="L231" s="27"/>
      <c r="M231" s="2"/>
      <c r="R231" s="27"/>
      <c r="S231" s="2"/>
      <c r="T231" s="27"/>
      <c r="U231" s="2"/>
    </row>
    <row r="232" spans="7:54" x14ac:dyDescent="0.35">
      <c r="G232" s="27"/>
      <c r="H232" s="27"/>
      <c r="J232" s="27"/>
      <c r="K232" s="2"/>
      <c r="L232" s="27"/>
      <c r="M232" s="2"/>
      <c r="R232" s="27"/>
      <c r="S232" s="2"/>
      <c r="T232" s="27"/>
      <c r="U232" s="2"/>
    </row>
    <row r="233" spans="7:54" x14ac:dyDescent="0.35">
      <c r="G233" s="27"/>
      <c r="H233" s="27"/>
      <c r="J233" s="27"/>
      <c r="K233" s="2"/>
      <c r="L233" s="27"/>
      <c r="M233" s="2"/>
      <c r="R233" s="27"/>
      <c r="S233" s="2"/>
      <c r="T233" s="27"/>
      <c r="U233" s="2"/>
    </row>
    <row r="234" spans="7:54" x14ac:dyDescent="0.35">
      <c r="G234" s="27"/>
      <c r="H234" s="27"/>
      <c r="J234" s="27"/>
      <c r="K234" s="2"/>
      <c r="L234" s="27"/>
      <c r="M234" s="2"/>
      <c r="R234" s="27"/>
      <c r="S234" s="2"/>
      <c r="T234" s="27"/>
      <c r="U234" s="2"/>
    </row>
    <row r="235" spans="7:54" x14ac:dyDescent="0.35">
      <c r="G235" s="27"/>
      <c r="H235" s="27"/>
      <c r="J235" s="27"/>
      <c r="K235" s="2"/>
      <c r="L235" s="27"/>
      <c r="M235" s="2"/>
      <c r="R235" s="27"/>
      <c r="S235" s="2"/>
      <c r="T235" s="27"/>
      <c r="U235" s="2"/>
    </row>
    <row r="236" spans="7:54" x14ac:dyDescent="0.35">
      <c r="G236" s="27"/>
      <c r="H236" s="27"/>
      <c r="J236" s="27"/>
      <c r="K236" s="2"/>
      <c r="L236" s="27"/>
      <c r="M236" s="2"/>
      <c r="R236" s="27"/>
      <c r="S236" s="2"/>
      <c r="T236" s="27"/>
      <c r="U236" s="2"/>
    </row>
    <row r="237" spans="7:54" x14ac:dyDescent="0.35">
      <c r="G237" s="27"/>
      <c r="H237" s="27"/>
      <c r="J237" s="27"/>
      <c r="K237" s="2"/>
      <c r="L237" s="27"/>
      <c r="M237" s="2"/>
      <c r="R237" s="27"/>
      <c r="S237" s="2"/>
      <c r="T237" s="27"/>
      <c r="U237" s="2"/>
    </row>
    <row r="238" spans="7:54" x14ac:dyDescent="0.35">
      <c r="G238" s="27"/>
      <c r="H238" s="27"/>
      <c r="J238" s="27"/>
      <c r="K238" s="2"/>
      <c r="L238" s="27"/>
      <c r="M238" s="2"/>
      <c r="R238" s="27"/>
      <c r="S238" s="2"/>
      <c r="T238" s="27"/>
      <c r="U238" s="2"/>
    </row>
    <row r="239" spans="7:54" x14ac:dyDescent="0.35">
      <c r="G239" s="27"/>
      <c r="H239" s="27"/>
      <c r="J239" s="27"/>
      <c r="K239" s="2"/>
      <c r="L239" s="27"/>
      <c r="M239" s="2"/>
      <c r="R239" s="27"/>
      <c r="S239" s="2"/>
      <c r="T239" s="27"/>
      <c r="U239" s="2"/>
    </row>
    <row r="240" spans="7:54" x14ac:dyDescent="0.35">
      <c r="G240" s="27"/>
      <c r="H240" s="27"/>
      <c r="J240" s="27"/>
      <c r="K240" s="2"/>
      <c r="L240" s="27"/>
      <c r="M240" s="2"/>
      <c r="R240" s="27"/>
      <c r="S240" s="2"/>
      <c r="T240" s="27"/>
      <c r="U240" s="2"/>
    </row>
    <row r="241" spans="7:21" x14ac:dyDescent="0.35">
      <c r="G241" s="27"/>
      <c r="H241" s="27"/>
      <c r="J241" s="27"/>
      <c r="K241" s="2"/>
      <c r="L241" s="27"/>
      <c r="M241" s="2"/>
      <c r="R241" s="27"/>
      <c r="S241" s="2"/>
      <c r="T241" s="27"/>
      <c r="U241" s="2"/>
    </row>
    <row r="242" spans="7:21" x14ac:dyDescent="0.35">
      <c r="G242" s="27"/>
      <c r="H242" s="27"/>
      <c r="J242" s="27"/>
      <c r="K242" s="2"/>
      <c r="L242" s="27"/>
      <c r="M242" s="2"/>
      <c r="R242" s="27"/>
      <c r="S242" s="2"/>
      <c r="T242" s="27"/>
      <c r="U242" s="2"/>
    </row>
    <row r="243" spans="7:21" x14ac:dyDescent="0.35">
      <c r="G243" s="27"/>
      <c r="H243" s="27"/>
      <c r="J243" s="27"/>
      <c r="K243" s="2"/>
      <c r="L243" s="27"/>
      <c r="M243" s="2"/>
      <c r="R243" s="27"/>
      <c r="S243" s="2"/>
      <c r="T243" s="27"/>
      <c r="U243" s="2"/>
    </row>
    <row r="244" spans="7:21" x14ac:dyDescent="0.35">
      <c r="G244" s="27"/>
      <c r="H244" s="27"/>
      <c r="J244" s="27"/>
      <c r="K244" s="2"/>
      <c r="L244" s="27"/>
      <c r="M244" s="2"/>
      <c r="R244" s="27"/>
      <c r="S244" s="2"/>
      <c r="T244" s="27"/>
      <c r="U244" s="2"/>
    </row>
    <row r="245" spans="7:21" x14ac:dyDescent="0.35">
      <c r="G245" s="27"/>
      <c r="H245" s="27"/>
      <c r="J245" s="27"/>
      <c r="K245" s="2"/>
      <c r="L245" s="27"/>
      <c r="M245" s="2"/>
      <c r="R245" s="27"/>
      <c r="S245" s="2"/>
      <c r="T245" s="27"/>
      <c r="U245" s="2"/>
    </row>
    <row r="246" spans="7:21" x14ac:dyDescent="0.35">
      <c r="G246" s="27"/>
      <c r="H246" s="27"/>
      <c r="J246" s="27"/>
      <c r="K246" s="2"/>
      <c r="L246" s="27"/>
      <c r="M246" s="2"/>
      <c r="R246" s="27"/>
      <c r="S246" s="2"/>
      <c r="T246" s="27"/>
      <c r="U246" s="2"/>
    </row>
    <row r="247" spans="7:21" x14ac:dyDescent="0.35">
      <c r="G247" s="27"/>
      <c r="H247" s="27"/>
      <c r="J247" s="27"/>
      <c r="K247" s="2"/>
      <c r="L247" s="27"/>
      <c r="M247" s="2"/>
      <c r="R247" s="27"/>
      <c r="S247" s="2"/>
      <c r="T247" s="27"/>
      <c r="U247" s="2"/>
    </row>
    <row r="248" spans="7:21" x14ac:dyDescent="0.35">
      <c r="G248" s="27"/>
      <c r="H248" s="27"/>
      <c r="J248" s="27"/>
      <c r="K248" s="2"/>
      <c r="L248" s="27"/>
      <c r="M248" s="2"/>
      <c r="R248" s="27"/>
      <c r="S248" s="2"/>
      <c r="T248" s="27"/>
      <c r="U248" s="2"/>
    </row>
    <row r="249" spans="7:21" x14ac:dyDescent="0.35">
      <c r="G249" s="27"/>
      <c r="H249" s="27"/>
      <c r="J249" s="27"/>
      <c r="K249" s="2"/>
      <c r="L249" s="27"/>
      <c r="M249" s="2"/>
      <c r="R249" s="27"/>
      <c r="S249" s="2"/>
      <c r="T249" s="27"/>
      <c r="U249" s="2"/>
    </row>
    <row r="250" spans="7:21" x14ac:dyDescent="0.35">
      <c r="G250" s="27"/>
      <c r="H250" s="27"/>
      <c r="J250" s="27"/>
      <c r="K250" s="2"/>
      <c r="L250" s="27"/>
      <c r="M250" s="2"/>
      <c r="R250" s="27"/>
      <c r="S250" s="2"/>
      <c r="T250" s="27"/>
      <c r="U250" s="2"/>
    </row>
    <row r="251" spans="7:21" x14ac:dyDescent="0.35">
      <c r="G251" s="27"/>
      <c r="H251" s="27"/>
      <c r="J251" s="27"/>
      <c r="K251" s="2"/>
      <c r="L251" s="27"/>
      <c r="M251" s="2"/>
      <c r="R251" s="27"/>
      <c r="S251" s="2"/>
      <c r="T251" s="27"/>
      <c r="U251" s="2"/>
    </row>
    <row r="252" spans="7:21" x14ac:dyDescent="0.35">
      <c r="G252" s="27"/>
      <c r="H252" s="27"/>
      <c r="J252" s="27"/>
      <c r="K252" s="2"/>
      <c r="L252" s="27"/>
      <c r="M252" s="2"/>
      <c r="R252" s="27"/>
      <c r="S252" s="2"/>
      <c r="T252" s="27"/>
      <c r="U252" s="2"/>
    </row>
    <row r="253" spans="7:21" x14ac:dyDescent="0.35">
      <c r="G253" s="27"/>
      <c r="H253" s="27"/>
      <c r="J253" s="27"/>
      <c r="K253" s="2"/>
      <c r="L253" s="27"/>
      <c r="M253" s="2"/>
      <c r="R253" s="27"/>
      <c r="S253" s="2"/>
      <c r="T253" s="27"/>
      <c r="U253" s="2"/>
    </row>
    <row r="254" spans="7:21" x14ac:dyDescent="0.35">
      <c r="G254" s="27"/>
      <c r="H254" s="27"/>
      <c r="J254" s="27"/>
      <c r="K254" s="2"/>
      <c r="L254" s="27"/>
      <c r="M254" s="2"/>
      <c r="R254" s="27"/>
      <c r="S254" s="2"/>
      <c r="T254" s="27"/>
      <c r="U254" s="2"/>
    </row>
    <row r="255" spans="7:21" x14ac:dyDescent="0.35">
      <c r="G255" s="27"/>
      <c r="H255" s="27"/>
      <c r="J255" s="27"/>
      <c r="K255" s="2"/>
      <c r="L255" s="27"/>
      <c r="M255" s="2"/>
      <c r="R255" s="27"/>
      <c r="S255" s="2"/>
      <c r="T255" s="27"/>
      <c r="U255" s="2"/>
    </row>
    <row r="256" spans="7:21" x14ac:dyDescent="0.35">
      <c r="G256" s="27"/>
      <c r="H256" s="27"/>
      <c r="J256" s="27"/>
      <c r="K256" s="2"/>
      <c r="L256" s="27"/>
      <c r="M256" s="2"/>
      <c r="R256" s="27"/>
      <c r="S256" s="2"/>
      <c r="T256" s="27"/>
      <c r="U256" s="2"/>
    </row>
    <row r="257" spans="7:21" x14ac:dyDescent="0.35">
      <c r="G257" s="27"/>
      <c r="H257" s="27"/>
      <c r="J257" s="27"/>
      <c r="K257" s="2"/>
      <c r="L257" s="27"/>
      <c r="M257" s="2"/>
      <c r="R257" s="27"/>
      <c r="S257" s="2"/>
      <c r="T257" s="27"/>
      <c r="U257" s="2"/>
    </row>
    <row r="258" spans="7:21" x14ac:dyDescent="0.35">
      <c r="G258" s="27"/>
      <c r="H258" s="27"/>
      <c r="J258" s="27"/>
      <c r="K258" s="2"/>
      <c r="L258" s="27"/>
      <c r="M258" s="2"/>
      <c r="R258" s="27"/>
      <c r="S258" s="2"/>
      <c r="T258" s="27"/>
      <c r="U258" s="2"/>
    </row>
    <row r="259" spans="7:21" x14ac:dyDescent="0.35">
      <c r="G259" s="27"/>
      <c r="H259" s="27"/>
      <c r="J259" s="27"/>
      <c r="K259" s="2"/>
      <c r="L259" s="27"/>
      <c r="M259" s="2"/>
      <c r="R259" s="27"/>
      <c r="S259" s="2"/>
      <c r="T259" s="27"/>
      <c r="U259" s="2"/>
    </row>
    <row r="260" spans="7:21" x14ac:dyDescent="0.35">
      <c r="G260" s="27"/>
      <c r="H260" s="27"/>
      <c r="J260" s="27"/>
      <c r="K260" s="2"/>
      <c r="L260" s="27"/>
      <c r="M260" s="2"/>
      <c r="R260" s="27"/>
      <c r="S260" s="2"/>
      <c r="T260" s="27"/>
      <c r="U260" s="2"/>
    </row>
    <row r="261" spans="7:21" x14ac:dyDescent="0.35">
      <c r="G261" s="27"/>
      <c r="H261" s="27"/>
      <c r="J261" s="27"/>
      <c r="K261" s="2"/>
      <c r="L261" s="27"/>
      <c r="M261" s="2"/>
      <c r="R261" s="27"/>
      <c r="S261" s="2"/>
      <c r="T261" s="27"/>
      <c r="U261" s="2"/>
    </row>
    <row r="262" spans="7:21" x14ac:dyDescent="0.35">
      <c r="G262" s="27"/>
      <c r="H262" s="27"/>
      <c r="J262" s="27"/>
      <c r="K262" s="2"/>
      <c r="L262" s="27"/>
      <c r="M262" s="2"/>
      <c r="R262" s="27"/>
      <c r="S262" s="2"/>
      <c r="T262" s="27"/>
      <c r="U262" s="2"/>
    </row>
    <row r="263" spans="7:21" x14ac:dyDescent="0.35">
      <c r="G263" s="27"/>
      <c r="H263" s="27"/>
      <c r="J263" s="27"/>
      <c r="K263" s="2"/>
      <c r="L263" s="27"/>
      <c r="M263" s="2"/>
      <c r="R263" s="27"/>
      <c r="S263" s="2"/>
      <c r="T263" s="27"/>
      <c r="U263" s="2"/>
    </row>
    <row r="264" spans="7:21" x14ac:dyDescent="0.35">
      <c r="G264" s="27"/>
      <c r="H264" s="27"/>
      <c r="J264" s="27"/>
      <c r="K264" s="2"/>
      <c r="L264" s="27"/>
      <c r="M264" s="2"/>
      <c r="R264" s="27"/>
      <c r="S264" s="2"/>
      <c r="T264" s="27"/>
      <c r="U264" s="2"/>
    </row>
    <row r="265" spans="7:21" x14ac:dyDescent="0.35">
      <c r="G265" s="27"/>
      <c r="H265" s="27"/>
      <c r="J265" s="27"/>
      <c r="K265" s="2"/>
      <c r="L265" s="27"/>
      <c r="M265" s="2"/>
      <c r="R265" s="27"/>
      <c r="S265" s="2"/>
      <c r="T265" s="27"/>
      <c r="U265" s="2"/>
    </row>
    <row r="266" spans="7:21" x14ac:dyDescent="0.35">
      <c r="G266" s="27"/>
      <c r="H266" s="27"/>
      <c r="J266" s="27"/>
      <c r="K266" s="2"/>
      <c r="L266" s="27"/>
      <c r="M266" s="2"/>
      <c r="R266" s="27"/>
      <c r="S266" s="2"/>
      <c r="T266" s="27"/>
      <c r="U266" s="2"/>
    </row>
    <row r="267" spans="7:21" x14ac:dyDescent="0.35">
      <c r="G267" s="27"/>
      <c r="H267" s="27"/>
      <c r="J267" s="27"/>
      <c r="K267" s="2"/>
      <c r="L267" s="27"/>
      <c r="M267" s="2"/>
      <c r="R267" s="27"/>
      <c r="S267" s="2"/>
      <c r="T267" s="27"/>
      <c r="U267" s="2"/>
    </row>
    <row r="268" spans="7:21" x14ac:dyDescent="0.35">
      <c r="G268" s="27"/>
      <c r="H268" s="27"/>
      <c r="J268" s="27"/>
      <c r="K268" s="2"/>
      <c r="L268" s="27"/>
      <c r="M268" s="2"/>
      <c r="R268" s="27"/>
      <c r="S268" s="2"/>
      <c r="T268" s="27"/>
      <c r="U268" s="2"/>
    </row>
    <row r="269" spans="7:21" x14ac:dyDescent="0.35">
      <c r="G269" s="27"/>
      <c r="H269" s="27"/>
      <c r="J269" s="27"/>
      <c r="K269" s="2"/>
      <c r="L269" s="27"/>
      <c r="M269" s="2"/>
      <c r="R269" s="27"/>
      <c r="S269" s="2"/>
      <c r="T269" s="27"/>
      <c r="U269" s="2"/>
    </row>
    <row r="270" spans="7:21" x14ac:dyDescent="0.35">
      <c r="G270" s="27"/>
      <c r="H270" s="27"/>
      <c r="J270" s="27"/>
      <c r="K270" s="2"/>
      <c r="L270" s="27"/>
      <c r="M270" s="2"/>
      <c r="R270" s="27"/>
      <c r="S270" s="2"/>
      <c r="T270" s="27"/>
      <c r="U270" s="2"/>
    </row>
    <row r="271" spans="7:21" x14ac:dyDescent="0.35">
      <c r="G271" s="27"/>
      <c r="H271" s="27"/>
      <c r="J271" s="27"/>
      <c r="K271" s="2"/>
      <c r="L271" s="27"/>
      <c r="M271" s="2"/>
      <c r="R271" s="27"/>
      <c r="S271" s="2"/>
      <c r="T271" s="27"/>
      <c r="U271" s="2"/>
    </row>
    <row r="272" spans="7:21" x14ac:dyDescent="0.35">
      <c r="G272" s="27"/>
      <c r="H272" s="27"/>
      <c r="J272" s="27"/>
      <c r="K272" s="2"/>
      <c r="L272" s="27"/>
      <c r="M272" s="2"/>
      <c r="R272" s="27"/>
      <c r="S272" s="2"/>
      <c r="T272" s="27"/>
      <c r="U272" s="2"/>
    </row>
    <row r="273" spans="7:21" x14ac:dyDescent="0.35">
      <c r="G273" s="27"/>
      <c r="H273" s="27"/>
      <c r="J273" s="27"/>
      <c r="K273" s="2"/>
      <c r="L273" s="27"/>
      <c r="M273" s="2"/>
      <c r="R273" s="27"/>
      <c r="S273" s="2"/>
      <c r="T273" s="27"/>
      <c r="U273" s="2"/>
    </row>
    <row r="274" spans="7:21" x14ac:dyDescent="0.35">
      <c r="G274" s="27"/>
      <c r="H274" s="27"/>
      <c r="J274" s="27"/>
      <c r="K274" s="2"/>
      <c r="L274" s="27"/>
      <c r="M274" s="2"/>
      <c r="R274" s="27"/>
      <c r="S274" s="2"/>
      <c r="T274" s="27"/>
      <c r="U274" s="2"/>
    </row>
    <row r="275" spans="7:21" x14ac:dyDescent="0.35">
      <c r="G275" s="27"/>
      <c r="H275" s="27"/>
      <c r="J275" s="27"/>
      <c r="K275" s="2"/>
      <c r="L275" s="27"/>
      <c r="M275" s="2"/>
      <c r="R275" s="27"/>
      <c r="S275" s="2"/>
      <c r="T275" s="27"/>
      <c r="U275" s="2"/>
    </row>
    <row r="276" spans="7:21" x14ac:dyDescent="0.35">
      <c r="G276" s="27"/>
      <c r="H276" s="27"/>
      <c r="J276" s="27"/>
      <c r="K276" s="2"/>
      <c r="L276" s="27"/>
      <c r="M276" s="2"/>
      <c r="R276" s="27"/>
      <c r="S276" s="2"/>
      <c r="T276" s="27"/>
      <c r="U276" s="2"/>
    </row>
    <row r="277" spans="7:21" x14ac:dyDescent="0.35">
      <c r="G277" s="27"/>
      <c r="H277" s="27"/>
      <c r="J277" s="27"/>
      <c r="K277" s="2"/>
      <c r="L277" s="27"/>
      <c r="M277" s="2"/>
      <c r="R277" s="27"/>
      <c r="S277" s="2"/>
      <c r="T277" s="27"/>
      <c r="U277" s="2"/>
    </row>
    <row r="278" spans="7:21" x14ac:dyDescent="0.35">
      <c r="G278" s="27"/>
      <c r="H278" s="27"/>
      <c r="J278" s="27"/>
      <c r="K278" s="2"/>
      <c r="L278" s="27"/>
      <c r="M278" s="2"/>
      <c r="R278" s="27"/>
      <c r="S278" s="2"/>
      <c r="T278" s="27"/>
      <c r="U278" s="2"/>
    </row>
    <row r="279" spans="7:21" x14ac:dyDescent="0.35">
      <c r="G279" s="27"/>
      <c r="H279" s="27"/>
      <c r="J279" s="27"/>
      <c r="K279" s="2"/>
      <c r="L279" s="27"/>
      <c r="M279" s="2"/>
      <c r="R279" s="27"/>
      <c r="S279" s="2"/>
      <c r="T279" s="27"/>
      <c r="U279" s="2"/>
    </row>
    <row r="280" spans="7:21" x14ac:dyDescent="0.35">
      <c r="G280" s="27"/>
      <c r="H280" s="27"/>
      <c r="J280" s="27"/>
      <c r="K280" s="2"/>
      <c r="L280" s="27"/>
      <c r="M280" s="2"/>
      <c r="R280" s="27"/>
      <c r="S280" s="2"/>
      <c r="T280" s="27"/>
      <c r="U280" s="2"/>
    </row>
    <row r="281" spans="7:21" x14ac:dyDescent="0.35">
      <c r="G281" s="27"/>
      <c r="H281" s="27"/>
      <c r="J281" s="27"/>
      <c r="K281" s="2"/>
      <c r="L281" s="27"/>
      <c r="M281" s="2"/>
      <c r="R281" s="27"/>
      <c r="S281" s="2"/>
      <c r="T281" s="27"/>
      <c r="U281" s="2"/>
    </row>
    <row r="282" spans="7:21" x14ac:dyDescent="0.35">
      <c r="G282" s="27"/>
      <c r="H282" s="27"/>
      <c r="J282" s="27"/>
      <c r="K282" s="2"/>
      <c r="L282" s="27"/>
      <c r="M282" s="2"/>
      <c r="R282" s="27"/>
      <c r="S282" s="2"/>
      <c r="T282" s="27"/>
      <c r="U282" s="2"/>
    </row>
    <row r="283" spans="7:21" x14ac:dyDescent="0.35">
      <c r="G283" s="27"/>
      <c r="H283" s="27"/>
      <c r="J283" s="27"/>
      <c r="K283" s="2"/>
      <c r="L283" s="27"/>
      <c r="M283" s="2"/>
      <c r="R283" s="27"/>
      <c r="S283" s="2"/>
      <c r="T283" s="27"/>
      <c r="U283" s="2"/>
    </row>
    <row r="284" spans="7:21" x14ac:dyDescent="0.35">
      <c r="G284" s="27"/>
      <c r="H284" s="27"/>
      <c r="J284" s="27"/>
      <c r="K284" s="2"/>
      <c r="L284" s="27"/>
      <c r="M284" s="2"/>
      <c r="R284" s="27"/>
      <c r="S284" s="2"/>
      <c r="T284" s="27"/>
      <c r="U284" s="2"/>
    </row>
    <row r="285" spans="7:21" x14ac:dyDescent="0.35">
      <c r="G285" s="27"/>
      <c r="H285" s="27"/>
      <c r="J285" s="27"/>
      <c r="K285" s="2"/>
      <c r="L285" s="27"/>
      <c r="M285" s="2"/>
      <c r="R285" s="27"/>
      <c r="S285" s="2"/>
      <c r="T285" s="27"/>
      <c r="U285" s="2"/>
    </row>
    <row r="286" spans="7:21" x14ac:dyDescent="0.35">
      <c r="G286" s="27"/>
      <c r="H286" s="27"/>
      <c r="J286" s="27"/>
      <c r="K286" s="2"/>
      <c r="L286" s="27"/>
      <c r="M286" s="2"/>
      <c r="R286" s="27"/>
      <c r="S286" s="2"/>
      <c r="T286" s="27"/>
      <c r="U286" s="2"/>
    </row>
    <row r="287" spans="7:21" x14ac:dyDescent="0.35">
      <c r="G287" s="27"/>
      <c r="H287" s="27"/>
      <c r="J287" s="27"/>
      <c r="K287" s="2"/>
      <c r="L287" s="27"/>
      <c r="M287" s="2"/>
      <c r="R287" s="27"/>
      <c r="S287" s="2"/>
      <c r="T287" s="27"/>
      <c r="U287" s="2"/>
    </row>
    <row r="288" spans="7:21" x14ac:dyDescent="0.35">
      <c r="G288" s="27"/>
      <c r="H288" s="27"/>
      <c r="J288" s="27"/>
      <c r="K288" s="2"/>
      <c r="L288" s="27"/>
      <c r="M288" s="2"/>
      <c r="R288" s="27"/>
      <c r="S288" s="2"/>
      <c r="T288" s="27"/>
      <c r="U288" s="2"/>
    </row>
    <row r="289" spans="7:21" x14ac:dyDescent="0.35">
      <c r="G289" s="27"/>
      <c r="H289" s="27"/>
      <c r="J289" s="27"/>
      <c r="K289" s="2"/>
      <c r="L289" s="27"/>
      <c r="M289" s="2"/>
      <c r="R289" s="27"/>
      <c r="S289" s="2"/>
      <c r="T289" s="27"/>
      <c r="U289" s="2"/>
    </row>
    <row r="290" spans="7:21" x14ac:dyDescent="0.35">
      <c r="G290" s="27"/>
      <c r="H290" s="27"/>
      <c r="J290" s="27"/>
      <c r="K290" s="2"/>
      <c r="L290" s="27"/>
      <c r="M290" s="2"/>
      <c r="R290" s="27"/>
      <c r="S290" s="2"/>
      <c r="T290" s="27"/>
      <c r="U290" s="2"/>
    </row>
    <row r="291" spans="7:21" x14ac:dyDescent="0.35">
      <c r="G291" s="27"/>
      <c r="H291" s="27"/>
      <c r="J291" s="27"/>
      <c r="K291" s="2"/>
      <c r="L291" s="27"/>
      <c r="M291" s="2"/>
      <c r="R291" s="27"/>
      <c r="S291" s="2"/>
      <c r="T291" s="27"/>
      <c r="U291" s="2"/>
    </row>
    <row r="292" spans="7:21" x14ac:dyDescent="0.35">
      <c r="G292" s="27"/>
      <c r="H292" s="27"/>
      <c r="J292" s="27"/>
      <c r="K292" s="2"/>
      <c r="L292" s="27"/>
      <c r="M292" s="2"/>
      <c r="R292" s="27"/>
      <c r="S292" s="2"/>
      <c r="T292" s="27"/>
      <c r="U292" s="2"/>
    </row>
    <row r="293" spans="7:21" x14ac:dyDescent="0.35">
      <c r="G293" s="27"/>
      <c r="H293" s="27"/>
      <c r="J293" s="27"/>
      <c r="K293" s="2"/>
      <c r="L293" s="27"/>
      <c r="M293" s="2"/>
      <c r="R293" s="27"/>
      <c r="S293" s="2"/>
      <c r="T293" s="27"/>
      <c r="U293" s="2"/>
    </row>
    <row r="294" spans="7:21" x14ac:dyDescent="0.35">
      <c r="G294" s="27"/>
      <c r="H294" s="27"/>
      <c r="J294" s="27"/>
      <c r="K294" s="2"/>
      <c r="L294" s="27"/>
      <c r="M294" s="2"/>
      <c r="R294" s="27"/>
      <c r="S294" s="2"/>
      <c r="T294" s="27"/>
      <c r="U294" s="2"/>
    </row>
    <row r="295" spans="7:21" x14ac:dyDescent="0.35">
      <c r="G295" s="27"/>
      <c r="H295" s="27"/>
      <c r="J295" s="27"/>
      <c r="K295" s="2"/>
      <c r="L295" s="27"/>
      <c r="M295" s="2"/>
      <c r="R295" s="27"/>
      <c r="S295" s="2"/>
      <c r="T295" s="27"/>
      <c r="U295" s="2"/>
    </row>
    <row r="296" spans="7:21" x14ac:dyDescent="0.35">
      <c r="G296" s="27"/>
      <c r="H296" s="27"/>
      <c r="J296" s="27"/>
      <c r="K296" s="2"/>
      <c r="L296" s="27"/>
      <c r="M296" s="2"/>
      <c r="R296" s="27"/>
      <c r="S296" s="2"/>
      <c r="T296" s="27"/>
      <c r="U296" s="2"/>
    </row>
    <row r="297" spans="7:21" x14ac:dyDescent="0.35">
      <c r="G297" s="27"/>
      <c r="H297" s="27"/>
      <c r="J297" s="27"/>
      <c r="K297" s="2"/>
      <c r="L297" s="27"/>
      <c r="M297" s="2"/>
      <c r="R297" s="27"/>
      <c r="S297" s="2"/>
      <c r="T297" s="27"/>
      <c r="U297" s="2"/>
    </row>
    <row r="298" spans="7:21" x14ac:dyDescent="0.35">
      <c r="G298" s="27"/>
      <c r="H298" s="27"/>
      <c r="J298" s="27"/>
      <c r="K298" s="2"/>
      <c r="L298" s="27"/>
      <c r="M298" s="2"/>
      <c r="R298" s="27"/>
      <c r="S298" s="2"/>
      <c r="T298" s="27"/>
      <c r="U298" s="2"/>
    </row>
    <row r="299" spans="7:21" x14ac:dyDescent="0.35">
      <c r="G299" s="27"/>
      <c r="H299" s="27"/>
      <c r="J299" s="27"/>
      <c r="K299" s="2"/>
      <c r="L299" s="27"/>
      <c r="M299" s="2"/>
      <c r="R299" s="27"/>
      <c r="S299" s="2"/>
      <c r="T299" s="27"/>
      <c r="U299" s="2"/>
    </row>
    <row r="300" spans="7:21" x14ac:dyDescent="0.35">
      <c r="G300" s="27"/>
      <c r="H300" s="27"/>
      <c r="J300" s="27"/>
      <c r="K300" s="2"/>
      <c r="L300" s="27"/>
      <c r="M300" s="2"/>
      <c r="R300" s="27"/>
      <c r="S300" s="2"/>
      <c r="T300" s="27"/>
      <c r="U300" s="2"/>
    </row>
    <row r="301" spans="7:21" x14ac:dyDescent="0.35">
      <c r="G301" s="27"/>
      <c r="H301" s="27"/>
      <c r="J301" s="27"/>
      <c r="K301" s="2"/>
      <c r="L301" s="27"/>
      <c r="M301" s="2"/>
      <c r="R301" s="27"/>
      <c r="S301" s="2"/>
      <c r="T301" s="27"/>
      <c r="U301" s="2"/>
    </row>
    <row r="302" spans="7:21" x14ac:dyDescent="0.35">
      <c r="G302" s="27"/>
      <c r="H302" s="27"/>
      <c r="J302" s="27"/>
      <c r="K302" s="2"/>
      <c r="L302" s="27"/>
      <c r="M302" s="2"/>
      <c r="R302" s="27"/>
      <c r="S302" s="2"/>
      <c r="T302" s="27"/>
      <c r="U302" s="2"/>
    </row>
    <row r="303" spans="7:21" x14ac:dyDescent="0.35">
      <c r="G303" s="27"/>
      <c r="H303" s="27"/>
      <c r="J303" s="27"/>
      <c r="K303" s="2"/>
      <c r="L303" s="27"/>
      <c r="M303" s="2"/>
      <c r="R303" s="27"/>
      <c r="S303" s="2"/>
      <c r="T303" s="27"/>
      <c r="U303" s="2"/>
    </row>
    <row r="304" spans="7:21" x14ac:dyDescent="0.35">
      <c r="G304" s="27"/>
      <c r="H304" s="27"/>
      <c r="J304" s="27"/>
      <c r="K304" s="2"/>
      <c r="L304" s="27"/>
      <c r="M304" s="2"/>
      <c r="R304" s="27"/>
      <c r="S304" s="2"/>
      <c r="T304" s="27"/>
      <c r="U304" s="2"/>
    </row>
    <row r="305" spans="7:21" x14ac:dyDescent="0.35">
      <c r="G305" s="27"/>
      <c r="H305" s="27"/>
      <c r="J305" s="27"/>
      <c r="K305" s="2"/>
      <c r="L305" s="27"/>
      <c r="M305" s="2"/>
      <c r="R305" s="27"/>
      <c r="S305" s="2"/>
      <c r="T305" s="27"/>
      <c r="U305" s="2"/>
    </row>
    <row r="306" spans="7:21" x14ac:dyDescent="0.35">
      <c r="G306" s="27"/>
      <c r="H306" s="27"/>
      <c r="J306" s="27"/>
      <c r="K306" s="2"/>
      <c r="L306" s="27"/>
      <c r="M306" s="2"/>
      <c r="R306" s="27"/>
      <c r="S306" s="2"/>
      <c r="T306" s="27"/>
      <c r="U306" s="2"/>
    </row>
    <row r="307" spans="7:21" x14ac:dyDescent="0.35">
      <c r="G307" s="27"/>
      <c r="H307" s="27"/>
      <c r="J307" s="27"/>
      <c r="K307" s="2"/>
      <c r="L307" s="27"/>
      <c r="M307" s="2"/>
      <c r="R307" s="27"/>
      <c r="S307" s="2"/>
      <c r="T307" s="27"/>
      <c r="U307" s="2"/>
    </row>
    <row r="308" spans="7:21" x14ac:dyDescent="0.35">
      <c r="G308" s="27"/>
      <c r="H308" s="27"/>
      <c r="J308" s="27"/>
      <c r="K308" s="2"/>
      <c r="L308" s="27"/>
      <c r="M308" s="2"/>
      <c r="R308" s="27"/>
      <c r="S308" s="2"/>
      <c r="T308" s="27"/>
      <c r="U308" s="2"/>
    </row>
    <row r="309" spans="7:21" x14ac:dyDescent="0.35">
      <c r="G309" s="27"/>
      <c r="H309" s="27"/>
      <c r="J309" s="27"/>
      <c r="K309" s="2"/>
      <c r="L309" s="27"/>
      <c r="M309" s="2"/>
      <c r="R309" s="27"/>
      <c r="S309" s="2"/>
      <c r="T309" s="27"/>
      <c r="U309" s="2"/>
    </row>
    <row r="310" spans="7:21" x14ac:dyDescent="0.35">
      <c r="G310" s="27"/>
      <c r="H310" s="27"/>
      <c r="J310" s="27"/>
      <c r="K310" s="2"/>
      <c r="L310" s="27"/>
      <c r="M310" s="2"/>
      <c r="R310" s="27"/>
      <c r="S310" s="2"/>
      <c r="T310" s="27"/>
      <c r="U310" s="2"/>
    </row>
    <row r="311" spans="7:21" x14ac:dyDescent="0.35">
      <c r="G311" s="27"/>
      <c r="H311" s="27"/>
      <c r="J311" s="27"/>
      <c r="K311" s="2"/>
      <c r="L311" s="27"/>
      <c r="M311" s="2"/>
      <c r="R311" s="27"/>
      <c r="S311" s="2"/>
      <c r="T311" s="27"/>
      <c r="U311" s="2"/>
    </row>
    <row r="312" spans="7:21" x14ac:dyDescent="0.35">
      <c r="G312" s="27"/>
      <c r="H312" s="27"/>
      <c r="J312" s="27"/>
      <c r="K312" s="2"/>
      <c r="L312" s="27"/>
      <c r="M312" s="2"/>
      <c r="R312" s="27"/>
      <c r="S312" s="2"/>
      <c r="T312" s="27"/>
      <c r="U312" s="2"/>
    </row>
    <row r="313" spans="7:21" x14ac:dyDescent="0.35">
      <c r="G313" s="27"/>
      <c r="H313" s="27"/>
      <c r="J313" s="27"/>
      <c r="K313" s="2"/>
      <c r="L313" s="27"/>
      <c r="M313" s="2"/>
      <c r="R313" s="27"/>
      <c r="S313" s="2"/>
      <c r="T313" s="27"/>
      <c r="U313" s="2"/>
    </row>
    <row r="314" spans="7:21" x14ac:dyDescent="0.35">
      <c r="G314" s="27"/>
      <c r="H314" s="27"/>
      <c r="J314" s="27"/>
      <c r="K314" s="2"/>
      <c r="L314" s="27"/>
      <c r="M314" s="2"/>
      <c r="R314" s="27"/>
      <c r="S314" s="2"/>
      <c r="T314" s="27"/>
      <c r="U314" s="2"/>
    </row>
    <row r="315" spans="7:21" x14ac:dyDescent="0.35">
      <c r="G315" s="27"/>
      <c r="H315" s="27"/>
      <c r="J315" s="27"/>
      <c r="K315" s="2"/>
      <c r="L315" s="27"/>
      <c r="M315" s="2"/>
      <c r="R315" s="27"/>
      <c r="S315" s="2"/>
      <c r="T315" s="27"/>
      <c r="U315" s="2"/>
    </row>
    <row r="316" spans="7:21" x14ac:dyDescent="0.35">
      <c r="G316" s="27"/>
      <c r="H316" s="27"/>
      <c r="J316" s="27"/>
      <c r="K316" s="2"/>
      <c r="L316" s="27"/>
      <c r="M316" s="2"/>
      <c r="R316" s="27"/>
      <c r="S316" s="2"/>
      <c r="T316" s="27"/>
      <c r="U316" s="2"/>
    </row>
    <row r="317" spans="7:21" x14ac:dyDescent="0.35">
      <c r="G317" s="27"/>
      <c r="H317" s="27"/>
      <c r="J317" s="27"/>
      <c r="K317" s="2"/>
      <c r="L317" s="27"/>
      <c r="M317" s="2"/>
      <c r="R317" s="27"/>
      <c r="S317" s="2"/>
      <c r="T317" s="27"/>
      <c r="U317" s="2"/>
    </row>
    <row r="318" spans="7:21" x14ac:dyDescent="0.35">
      <c r="G318" s="27"/>
      <c r="H318" s="27"/>
      <c r="J318" s="27"/>
      <c r="K318" s="2"/>
      <c r="L318" s="27"/>
      <c r="M318" s="2"/>
      <c r="R318" s="27"/>
      <c r="S318" s="2"/>
      <c r="T318" s="27"/>
      <c r="U318" s="2"/>
    </row>
    <row r="319" spans="7:21" x14ac:dyDescent="0.35">
      <c r="G319" s="27"/>
      <c r="H319" s="27"/>
      <c r="J319" s="27"/>
      <c r="K319" s="2"/>
      <c r="L319" s="27"/>
      <c r="M319" s="2"/>
      <c r="R319" s="27"/>
      <c r="S319" s="2"/>
      <c r="T319" s="27"/>
      <c r="U319" s="2"/>
    </row>
    <row r="320" spans="7:21" x14ac:dyDescent="0.35">
      <c r="G320" s="27"/>
      <c r="H320" s="27"/>
      <c r="J320" s="27"/>
      <c r="K320" s="2"/>
      <c r="L320" s="27"/>
      <c r="M320" s="2"/>
      <c r="R320" s="27"/>
      <c r="S320" s="2"/>
      <c r="T320" s="27"/>
      <c r="U320" s="2"/>
    </row>
    <row r="321" spans="7:21" x14ac:dyDescent="0.35">
      <c r="G321" s="27"/>
      <c r="H321" s="27"/>
      <c r="J321" s="27"/>
      <c r="K321" s="2"/>
      <c r="L321" s="27"/>
      <c r="M321" s="2"/>
      <c r="R321" s="27"/>
      <c r="S321" s="2"/>
      <c r="T321" s="27"/>
      <c r="U321" s="2"/>
    </row>
    <row r="322" spans="7:21" x14ac:dyDescent="0.35">
      <c r="G322" s="27"/>
      <c r="H322" s="27"/>
      <c r="J322" s="27"/>
      <c r="K322" s="2"/>
      <c r="L322" s="27"/>
      <c r="M322" s="2"/>
      <c r="R322" s="27"/>
      <c r="S322" s="2"/>
      <c r="T322" s="27"/>
      <c r="U322" s="2"/>
    </row>
    <row r="323" spans="7:21" x14ac:dyDescent="0.35">
      <c r="G323" s="27"/>
      <c r="H323" s="27"/>
      <c r="J323" s="27"/>
      <c r="K323" s="2"/>
      <c r="L323" s="27"/>
      <c r="M323" s="2"/>
      <c r="R323" s="27"/>
      <c r="S323" s="2"/>
      <c r="T323" s="27"/>
      <c r="U323" s="2"/>
    </row>
    <row r="324" spans="7:21" x14ac:dyDescent="0.35">
      <c r="G324" s="27"/>
      <c r="H324" s="27"/>
      <c r="J324" s="27"/>
      <c r="K324" s="2"/>
      <c r="L324" s="27"/>
      <c r="M324" s="2"/>
      <c r="R324" s="27"/>
      <c r="S324" s="2"/>
      <c r="T324" s="27"/>
      <c r="U324" s="2"/>
    </row>
    <row r="325" spans="7:21" x14ac:dyDescent="0.35">
      <c r="G325" s="27"/>
      <c r="H325" s="27"/>
      <c r="J325" s="27"/>
      <c r="K325" s="2"/>
      <c r="L325" s="27"/>
      <c r="M325" s="2"/>
      <c r="R325" s="27"/>
      <c r="S325" s="2"/>
      <c r="T325" s="27"/>
      <c r="U325" s="2"/>
    </row>
    <row r="326" spans="7:21" x14ac:dyDescent="0.35">
      <c r="G326" s="27"/>
      <c r="H326" s="27"/>
      <c r="J326" s="27"/>
      <c r="K326" s="2"/>
      <c r="L326" s="27"/>
      <c r="M326" s="2"/>
      <c r="R326" s="27"/>
      <c r="S326" s="2"/>
      <c r="T326" s="27"/>
      <c r="U326" s="2"/>
    </row>
    <row r="327" spans="7:21" x14ac:dyDescent="0.35">
      <c r="G327" s="27"/>
      <c r="H327" s="27"/>
      <c r="J327" s="27"/>
      <c r="K327" s="2"/>
      <c r="L327" s="27"/>
      <c r="M327" s="2"/>
      <c r="R327" s="27"/>
      <c r="S327" s="2"/>
      <c r="T327" s="27"/>
      <c r="U327" s="2"/>
    </row>
    <row r="328" spans="7:21" x14ac:dyDescent="0.35">
      <c r="G328" s="27"/>
      <c r="H328" s="27"/>
      <c r="J328" s="27"/>
      <c r="K328" s="2"/>
      <c r="L328" s="27"/>
      <c r="M328" s="2"/>
      <c r="R328" s="27"/>
      <c r="S328" s="2"/>
      <c r="T328" s="27"/>
      <c r="U328" s="2"/>
    </row>
    <row r="329" spans="7:21" x14ac:dyDescent="0.35">
      <c r="G329" s="27"/>
      <c r="H329" s="27"/>
      <c r="J329" s="27"/>
      <c r="K329" s="2"/>
      <c r="L329" s="27"/>
      <c r="M329" s="2"/>
      <c r="R329" s="27"/>
      <c r="S329" s="2"/>
      <c r="T329" s="27"/>
      <c r="U329" s="2"/>
    </row>
    <row r="330" spans="7:21" x14ac:dyDescent="0.35">
      <c r="G330" s="27"/>
      <c r="H330" s="27"/>
      <c r="J330" s="27"/>
      <c r="K330" s="2"/>
      <c r="L330" s="27"/>
      <c r="M330" s="2"/>
      <c r="R330" s="27"/>
      <c r="S330" s="2"/>
      <c r="T330" s="27"/>
      <c r="U330" s="2"/>
    </row>
    <row r="331" spans="7:21" x14ac:dyDescent="0.35">
      <c r="G331" s="27"/>
      <c r="H331" s="27"/>
      <c r="J331" s="27"/>
      <c r="K331" s="2"/>
      <c r="L331" s="27"/>
      <c r="M331" s="2"/>
      <c r="R331" s="27"/>
      <c r="S331" s="2"/>
      <c r="T331" s="27"/>
      <c r="U331" s="2"/>
    </row>
    <row r="332" spans="7:21" x14ac:dyDescent="0.35">
      <c r="G332" s="27"/>
      <c r="H332" s="27"/>
      <c r="J332" s="27"/>
      <c r="K332" s="2"/>
      <c r="L332" s="27"/>
      <c r="M332" s="2"/>
      <c r="R332" s="27"/>
      <c r="S332" s="2"/>
      <c r="T332" s="27"/>
      <c r="U332" s="2"/>
    </row>
    <row r="333" spans="7:21" x14ac:dyDescent="0.35">
      <c r="G333" s="27"/>
      <c r="H333" s="27"/>
      <c r="J333" s="27"/>
      <c r="K333" s="2"/>
      <c r="L333" s="27"/>
      <c r="M333" s="2"/>
      <c r="R333" s="27"/>
      <c r="S333" s="2"/>
      <c r="T333" s="27"/>
      <c r="U333" s="2"/>
    </row>
    <row r="334" spans="7:21" x14ac:dyDescent="0.35">
      <c r="G334" s="27"/>
      <c r="H334" s="27"/>
      <c r="J334" s="27"/>
      <c r="K334" s="2"/>
      <c r="L334" s="27"/>
      <c r="M334" s="2"/>
      <c r="R334" s="27"/>
      <c r="S334" s="2"/>
      <c r="T334" s="27"/>
      <c r="U334" s="2"/>
    </row>
    <row r="335" spans="7:21" x14ac:dyDescent="0.35">
      <c r="G335" s="27"/>
      <c r="H335" s="27"/>
      <c r="J335" s="27"/>
      <c r="K335" s="2"/>
      <c r="L335" s="27"/>
      <c r="M335" s="2"/>
      <c r="R335" s="27"/>
      <c r="S335" s="2"/>
      <c r="T335" s="27"/>
      <c r="U335" s="2"/>
    </row>
    <row r="336" spans="7:21" x14ac:dyDescent="0.35">
      <c r="G336" s="27"/>
      <c r="H336" s="27"/>
      <c r="J336" s="27"/>
      <c r="K336" s="2"/>
      <c r="L336" s="27"/>
      <c r="M336" s="2"/>
      <c r="R336" s="27"/>
      <c r="S336" s="2"/>
      <c r="T336" s="27"/>
      <c r="U336" s="2"/>
    </row>
    <row r="337" spans="7:21" x14ac:dyDescent="0.35">
      <c r="G337" s="27"/>
      <c r="H337" s="27"/>
      <c r="J337" s="27"/>
      <c r="K337" s="2"/>
      <c r="L337" s="27"/>
      <c r="M337" s="2"/>
      <c r="R337" s="27"/>
      <c r="S337" s="2"/>
      <c r="T337" s="27"/>
      <c r="U337" s="2"/>
    </row>
    <row r="338" spans="7:21" x14ac:dyDescent="0.35">
      <c r="G338" s="27"/>
      <c r="H338" s="27"/>
      <c r="J338" s="27"/>
      <c r="K338" s="2"/>
      <c r="L338" s="27"/>
      <c r="M338" s="2"/>
      <c r="R338" s="27"/>
      <c r="S338" s="2"/>
      <c r="T338" s="27"/>
      <c r="U338" s="2"/>
    </row>
    <row r="339" spans="7:21" x14ac:dyDescent="0.35">
      <c r="G339" s="27"/>
      <c r="H339" s="27"/>
      <c r="J339" s="27"/>
      <c r="K339" s="2"/>
      <c r="L339" s="27"/>
      <c r="M339" s="2"/>
      <c r="R339" s="27"/>
      <c r="S339" s="2"/>
      <c r="T339" s="27"/>
      <c r="U339" s="2"/>
    </row>
    <row r="340" spans="7:21" x14ac:dyDescent="0.35">
      <c r="G340" s="27"/>
      <c r="H340" s="27"/>
      <c r="J340" s="27"/>
      <c r="K340" s="2"/>
      <c r="L340" s="27"/>
      <c r="M340" s="2"/>
      <c r="R340" s="27"/>
      <c r="S340" s="2"/>
      <c r="T340" s="27"/>
      <c r="U340" s="2"/>
    </row>
    <row r="341" spans="7:21" x14ac:dyDescent="0.35">
      <c r="G341" s="27"/>
      <c r="H341" s="27"/>
      <c r="J341" s="27"/>
      <c r="K341" s="2"/>
      <c r="L341" s="27"/>
      <c r="M341" s="2"/>
      <c r="R341" s="27"/>
      <c r="S341" s="2"/>
      <c r="T341" s="27"/>
      <c r="U341" s="2"/>
    </row>
    <row r="342" spans="7:21" x14ac:dyDescent="0.35">
      <c r="G342" s="27"/>
      <c r="H342" s="27"/>
      <c r="J342" s="27"/>
      <c r="K342" s="2"/>
      <c r="L342" s="27"/>
      <c r="M342" s="2"/>
      <c r="R342" s="27"/>
      <c r="S342" s="2"/>
      <c r="T342" s="27"/>
      <c r="U342" s="2"/>
    </row>
    <row r="343" spans="7:21" x14ac:dyDescent="0.35">
      <c r="G343" s="27"/>
      <c r="H343" s="27"/>
      <c r="J343" s="27"/>
      <c r="K343" s="2"/>
      <c r="L343" s="27"/>
      <c r="M343" s="2"/>
      <c r="R343" s="27"/>
      <c r="S343" s="2"/>
      <c r="T343" s="27"/>
      <c r="U343" s="2"/>
    </row>
    <row r="344" spans="7:21" x14ac:dyDescent="0.35">
      <c r="G344" s="27"/>
      <c r="H344" s="27"/>
      <c r="J344" s="27"/>
      <c r="K344" s="2"/>
      <c r="L344" s="27"/>
      <c r="M344" s="2"/>
      <c r="R344" s="27"/>
      <c r="S344" s="2"/>
      <c r="T344" s="27"/>
      <c r="U344" s="2"/>
    </row>
    <row r="345" spans="7:21" x14ac:dyDescent="0.35">
      <c r="G345" s="27"/>
      <c r="H345" s="27"/>
      <c r="J345" s="27"/>
      <c r="K345" s="2"/>
      <c r="L345" s="27"/>
      <c r="M345" s="2"/>
      <c r="R345" s="27"/>
      <c r="S345" s="2"/>
      <c r="T345" s="27"/>
      <c r="U345" s="2"/>
    </row>
    <row r="346" spans="7:21" x14ac:dyDescent="0.35">
      <c r="G346" s="27"/>
      <c r="H346" s="27"/>
      <c r="J346" s="27"/>
      <c r="K346" s="2"/>
      <c r="L346" s="27"/>
      <c r="M346" s="2"/>
      <c r="R346" s="27"/>
      <c r="S346" s="2"/>
      <c r="T346" s="27"/>
      <c r="U346" s="2"/>
    </row>
    <row r="347" spans="7:21" x14ac:dyDescent="0.35">
      <c r="G347" s="27"/>
      <c r="H347" s="27"/>
      <c r="J347" s="27"/>
      <c r="K347" s="2"/>
      <c r="L347" s="27"/>
      <c r="M347" s="2"/>
      <c r="R347" s="27"/>
      <c r="S347" s="2"/>
      <c r="T347" s="27"/>
      <c r="U347" s="2"/>
    </row>
    <row r="348" spans="7:21" x14ac:dyDescent="0.35">
      <c r="G348" s="27"/>
      <c r="H348" s="27"/>
      <c r="J348" s="27"/>
      <c r="K348" s="2"/>
      <c r="L348" s="27"/>
      <c r="M348" s="2"/>
      <c r="R348" s="27"/>
      <c r="S348" s="2"/>
      <c r="T348" s="27"/>
      <c r="U348" s="2"/>
    </row>
    <row r="349" spans="7:21" x14ac:dyDescent="0.35">
      <c r="G349" s="27"/>
      <c r="H349" s="27"/>
      <c r="J349" s="27"/>
      <c r="K349" s="2"/>
      <c r="L349" s="27"/>
      <c r="M349" s="2"/>
      <c r="R349" s="27"/>
      <c r="S349" s="2"/>
      <c r="T349" s="27"/>
      <c r="U349" s="2"/>
    </row>
    <row r="350" spans="7:21" x14ac:dyDescent="0.35">
      <c r="G350" s="27"/>
      <c r="H350" s="27"/>
      <c r="J350" s="27"/>
      <c r="K350" s="2"/>
      <c r="L350" s="27"/>
      <c r="M350" s="2"/>
      <c r="R350" s="27"/>
      <c r="S350" s="2"/>
      <c r="T350" s="27"/>
      <c r="U350" s="2"/>
    </row>
    <row r="351" spans="7:21" x14ac:dyDescent="0.35">
      <c r="G351" s="27"/>
      <c r="H351" s="27"/>
      <c r="J351" s="27"/>
      <c r="K351" s="2"/>
      <c r="L351" s="27"/>
      <c r="M351" s="2"/>
      <c r="R351" s="27"/>
      <c r="S351" s="2"/>
      <c r="T351" s="27"/>
      <c r="U351" s="2"/>
    </row>
    <row r="352" spans="7:21" x14ac:dyDescent="0.35">
      <c r="G352" s="27"/>
      <c r="H352" s="27"/>
      <c r="J352" s="27"/>
      <c r="K352" s="2"/>
      <c r="L352" s="27"/>
      <c r="M352" s="2"/>
      <c r="R352" s="27"/>
      <c r="S352" s="2"/>
      <c r="T352" s="27"/>
      <c r="U352" s="2"/>
    </row>
    <row r="353" spans="7:21" x14ac:dyDescent="0.35">
      <c r="G353" s="27"/>
      <c r="H353" s="27"/>
      <c r="J353" s="27"/>
      <c r="K353" s="2"/>
      <c r="L353" s="27"/>
      <c r="M353" s="2"/>
      <c r="R353" s="27"/>
      <c r="S353" s="2"/>
      <c r="T353" s="27"/>
      <c r="U353" s="2"/>
    </row>
    <row r="354" spans="7:21" x14ac:dyDescent="0.35">
      <c r="G354" s="27"/>
      <c r="H354" s="27"/>
      <c r="J354" s="27"/>
      <c r="K354" s="2"/>
      <c r="L354" s="27"/>
      <c r="M354" s="2"/>
      <c r="R354" s="27"/>
      <c r="S354" s="2"/>
      <c r="T354" s="27"/>
      <c r="U354" s="2"/>
    </row>
    <row r="355" spans="7:21" x14ac:dyDescent="0.35">
      <c r="G355" s="27"/>
      <c r="H355" s="27"/>
      <c r="J355" s="27"/>
      <c r="K355" s="2"/>
      <c r="L355" s="27"/>
      <c r="M355" s="2"/>
      <c r="R355" s="27"/>
      <c r="S355" s="2"/>
      <c r="T355" s="27"/>
      <c r="U355" s="2"/>
    </row>
    <row r="356" spans="7:21" x14ac:dyDescent="0.35">
      <c r="G356" s="27"/>
      <c r="H356" s="27"/>
      <c r="J356" s="27"/>
      <c r="K356" s="2"/>
      <c r="L356" s="27"/>
      <c r="M356" s="2"/>
      <c r="R356" s="27"/>
      <c r="S356" s="2"/>
      <c r="T356" s="27"/>
      <c r="U356" s="2"/>
    </row>
    <row r="357" spans="7:21" x14ac:dyDescent="0.35">
      <c r="G357" s="27"/>
      <c r="H357" s="27"/>
      <c r="J357" s="27"/>
      <c r="K357" s="2"/>
      <c r="L357" s="27"/>
      <c r="M357" s="2"/>
      <c r="R357" s="27"/>
      <c r="S357" s="2"/>
      <c r="T357" s="27"/>
      <c r="U357" s="2"/>
    </row>
    <row r="358" spans="7:21" x14ac:dyDescent="0.35">
      <c r="G358" s="27"/>
      <c r="H358" s="27"/>
      <c r="J358" s="27"/>
      <c r="K358" s="2"/>
      <c r="L358" s="27"/>
      <c r="M358" s="2"/>
      <c r="R358" s="27"/>
      <c r="S358" s="2"/>
      <c r="T358" s="27"/>
      <c r="U358" s="2"/>
    </row>
    <row r="359" spans="7:21" x14ac:dyDescent="0.35">
      <c r="G359" s="27"/>
      <c r="H359" s="27"/>
      <c r="J359" s="27"/>
      <c r="K359" s="2"/>
      <c r="L359" s="27"/>
      <c r="M359" s="2"/>
      <c r="R359" s="27"/>
      <c r="S359" s="2"/>
      <c r="T359" s="27"/>
      <c r="U359" s="2"/>
    </row>
    <row r="360" spans="7:21" x14ac:dyDescent="0.35">
      <c r="G360" s="27"/>
      <c r="H360" s="27"/>
      <c r="J360" s="27"/>
      <c r="K360" s="2"/>
      <c r="L360" s="27"/>
      <c r="M360" s="2"/>
      <c r="R360" s="27"/>
      <c r="S360" s="2"/>
      <c r="T360" s="27"/>
      <c r="U360" s="2"/>
    </row>
    <row r="361" spans="7:21" x14ac:dyDescent="0.35">
      <c r="G361" s="27"/>
      <c r="H361" s="27"/>
      <c r="J361" s="27"/>
      <c r="K361" s="2"/>
      <c r="L361" s="27"/>
      <c r="M361" s="2"/>
      <c r="R361" s="27"/>
      <c r="S361" s="2"/>
      <c r="T361" s="27"/>
      <c r="U361" s="2"/>
    </row>
    <row r="362" spans="7:21" x14ac:dyDescent="0.35">
      <c r="G362" s="27"/>
      <c r="H362" s="27"/>
      <c r="J362" s="27"/>
      <c r="K362" s="2"/>
      <c r="L362" s="27"/>
      <c r="M362" s="2"/>
      <c r="R362" s="27"/>
      <c r="S362" s="2"/>
      <c r="T362" s="27"/>
      <c r="U362" s="2"/>
    </row>
    <row r="363" spans="7:21" x14ac:dyDescent="0.35">
      <c r="G363" s="27"/>
      <c r="H363" s="27"/>
      <c r="J363" s="27"/>
      <c r="K363" s="2"/>
      <c r="L363" s="27"/>
      <c r="M363" s="2"/>
      <c r="R363" s="27"/>
      <c r="S363" s="2"/>
      <c r="T363" s="27"/>
      <c r="U363" s="2"/>
    </row>
    <row r="364" spans="7:21" x14ac:dyDescent="0.35">
      <c r="G364" s="27"/>
      <c r="H364" s="27"/>
      <c r="J364" s="27"/>
      <c r="K364" s="2"/>
      <c r="L364" s="27"/>
      <c r="M364" s="2"/>
      <c r="R364" s="27"/>
      <c r="S364" s="2"/>
      <c r="T364" s="27"/>
      <c r="U364" s="2"/>
    </row>
    <row r="365" spans="7:21" x14ac:dyDescent="0.35">
      <c r="G365" s="27"/>
      <c r="H365" s="27"/>
      <c r="J365" s="27"/>
      <c r="K365" s="2"/>
      <c r="L365" s="27"/>
      <c r="M365" s="2"/>
      <c r="R365" s="27"/>
      <c r="S365" s="2"/>
      <c r="T365" s="27"/>
      <c r="U365" s="2"/>
    </row>
    <row r="366" spans="7:21" x14ac:dyDescent="0.35">
      <c r="G366" s="27"/>
      <c r="H366" s="27"/>
      <c r="J366" s="27"/>
      <c r="K366" s="2"/>
      <c r="L366" s="27"/>
      <c r="M366" s="2"/>
      <c r="R366" s="27"/>
      <c r="S366" s="2"/>
      <c r="T366" s="27"/>
      <c r="U366" s="2"/>
    </row>
    <row r="367" spans="7:21" x14ac:dyDescent="0.35">
      <c r="G367" s="27"/>
      <c r="H367" s="27"/>
      <c r="J367" s="27"/>
      <c r="K367" s="2"/>
      <c r="L367" s="27"/>
      <c r="M367" s="2"/>
      <c r="R367" s="27"/>
      <c r="S367" s="2"/>
      <c r="T367" s="27"/>
      <c r="U367" s="2"/>
    </row>
    <row r="368" spans="7:21" x14ac:dyDescent="0.35">
      <c r="G368" s="27"/>
      <c r="H368" s="27"/>
      <c r="J368" s="27"/>
      <c r="K368" s="2"/>
      <c r="L368" s="27"/>
      <c r="M368" s="2"/>
      <c r="R368" s="27"/>
      <c r="S368" s="2"/>
      <c r="T368" s="27"/>
      <c r="U368" s="2"/>
    </row>
    <row r="369" spans="7:21" x14ac:dyDescent="0.35">
      <c r="G369" s="27"/>
      <c r="H369" s="27"/>
      <c r="J369" s="27"/>
      <c r="K369" s="2"/>
      <c r="L369" s="27"/>
      <c r="M369" s="2"/>
      <c r="R369" s="27"/>
      <c r="S369" s="2"/>
      <c r="T369" s="27"/>
      <c r="U369" s="2"/>
    </row>
    <row r="370" spans="7:21" x14ac:dyDescent="0.35">
      <c r="G370" s="27"/>
      <c r="H370" s="27"/>
      <c r="J370" s="27"/>
      <c r="K370" s="2"/>
      <c r="L370" s="27"/>
      <c r="M370" s="2"/>
      <c r="R370" s="27"/>
      <c r="S370" s="2"/>
      <c r="T370" s="27"/>
      <c r="U370" s="2"/>
    </row>
    <row r="371" spans="7:21" x14ac:dyDescent="0.35">
      <c r="G371" s="27"/>
      <c r="H371" s="27"/>
      <c r="J371" s="27"/>
      <c r="K371" s="2"/>
      <c r="L371" s="27"/>
      <c r="M371" s="2"/>
      <c r="R371" s="27"/>
      <c r="S371" s="2"/>
      <c r="T371" s="27"/>
      <c r="U371" s="2"/>
    </row>
    <row r="372" spans="7:21" x14ac:dyDescent="0.35">
      <c r="G372" s="27"/>
      <c r="H372" s="27"/>
      <c r="J372" s="27"/>
      <c r="K372" s="2"/>
      <c r="L372" s="27"/>
      <c r="M372" s="2"/>
      <c r="R372" s="27"/>
      <c r="S372" s="2"/>
      <c r="T372" s="27"/>
      <c r="U372" s="2"/>
    </row>
    <row r="373" spans="7:21" x14ac:dyDescent="0.35">
      <c r="G373" s="27"/>
      <c r="H373" s="27"/>
      <c r="J373" s="27"/>
      <c r="K373" s="2"/>
      <c r="L373" s="27"/>
      <c r="M373" s="2"/>
      <c r="R373" s="27"/>
      <c r="S373" s="2"/>
      <c r="T373" s="27"/>
      <c r="U373" s="2"/>
    </row>
    <row r="374" spans="7:21" x14ac:dyDescent="0.35">
      <c r="G374" s="27"/>
      <c r="H374" s="27"/>
      <c r="J374" s="27"/>
      <c r="K374" s="2"/>
      <c r="L374" s="27"/>
      <c r="M374" s="2"/>
      <c r="R374" s="27"/>
      <c r="S374" s="2"/>
      <c r="T374" s="27"/>
      <c r="U374" s="2"/>
    </row>
    <row r="375" spans="7:21" x14ac:dyDescent="0.35">
      <c r="G375" s="27"/>
      <c r="H375" s="27"/>
      <c r="J375" s="27"/>
      <c r="K375" s="2"/>
      <c r="L375" s="27"/>
      <c r="M375" s="2"/>
      <c r="R375" s="27"/>
      <c r="S375" s="2"/>
      <c r="T375" s="27"/>
      <c r="U375" s="2"/>
    </row>
    <row r="376" spans="7:21" x14ac:dyDescent="0.35">
      <c r="G376" s="27"/>
      <c r="H376" s="27"/>
      <c r="J376" s="27"/>
      <c r="K376" s="2"/>
      <c r="L376" s="27"/>
      <c r="M376" s="2"/>
      <c r="R376" s="27"/>
      <c r="S376" s="2"/>
      <c r="T376" s="27"/>
      <c r="U376" s="2"/>
    </row>
    <row r="377" spans="7:21" x14ac:dyDescent="0.35">
      <c r="G377" s="27"/>
      <c r="H377" s="27"/>
      <c r="J377" s="27"/>
      <c r="K377" s="2"/>
      <c r="L377" s="27"/>
      <c r="M377" s="2"/>
      <c r="R377" s="27"/>
      <c r="S377" s="2"/>
      <c r="T377" s="27"/>
      <c r="U377" s="2"/>
    </row>
    <row r="378" spans="7:21" x14ac:dyDescent="0.35">
      <c r="G378" s="27"/>
      <c r="H378" s="27"/>
      <c r="J378" s="27"/>
      <c r="K378" s="2"/>
      <c r="L378" s="27"/>
      <c r="M378" s="2"/>
      <c r="R378" s="27"/>
      <c r="S378" s="2"/>
      <c r="T378" s="27"/>
      <c r="U378" s="2"/>
    </row>
    <row r="379" spans="7:21" x14ac:dyDescent="0.35">
      <c r="G379" s="27"/>
      <c r="H379" s="27"/>
      <c r="J379" s="27"/>
      <c r="K379" s="2"/>
      <c r="L379" s="27"/>
      <c r="M379" s="2"/>
      <c r="R379" s="27"/>
      <c r="S379" s="2"/>
      <c r="T379" s="27"/>
      <c r="U379" s="2"/>
    </row>
    <row r="380" spans="7:21" x14ac:dyDescent="0.35">
      <c r="G380" s="27"/>
      <c r="H380" s="27"/>
      <c r="J380" s="27"/>
      <c r="K380" s="2"/>
      <c r="L380" s="27"/>
      <c r="M380" s="2"/>
      <c r="R380" s="27"/>
      <c r="S380" s="2"/>
      <c r="T380" s="27"/>
      <c r="U380" s="2"/>
    </row>
    <row r="381" spans="7:21" x14ac:dyDescent="0.35">
      <c r="G381" s="27"/>
      <c r="H381" s="27"/>
      <c r="J381" s="27"/>
      <c r="K381" s="2"/>
      <c r="L381" s="27"/>
      <c r="M381" s="2"/>
      <c r="R381" s="27"/>
      <c r="S381" s="2"/>
      <c r="T381" s="27"/>
      <c r="U381" s="2"/>
    </row>
    <row r="382" spans="7:21" x14ac:dyDescent="0.35">
      <c r="G382" s="27"/>
      <c r="H382" s="27"/>
      <c r="J382" s="27"/>
      <c r="K382" s="2"/>
      <c r="L382" s="27"/>
      <c r="M382" s="2"/>
      <c r="R382" s="27"/>
      <c r="S382" s="2"/>
      <c r="T382" s="27"/>
      <c r="U382" s="2"/>
    </row>
    <row r="383" spans="7:21" x14ac:dyDescent="0.35">
      <c r="G383" s="27"/>
      <c r="H383" s="27"/>
      <c r="J383" s="27"/>
      <c r="K383" s="2"/>
      <c r="L383" s="27"/>
      <c r="M383" s="2"/>
      <c r="R383" s="27"/>
      <c r="S383" s="2"/>
      <c r="T383" s="27"/>
      <c r="U383" s="2"/>
    </row>
    <row r="384" spans="7:21" x14ac:dyDescent="0.35">
      <c r="G384" s="27"/>
      <c r="H384" s="27"/>
      <c r="J384" s="27"/>
      <c r="K384" s="2"/>
      <c r="L384" s="27"/>
      <c r="M384" s="2"/>
      <c r="R384" s="27"/>
      <c r="S384" s="2"/>
      <c r="T384" s="27"/>
      <c r="U384" s="2"/>
    </row>
    <row r="385" spans="7:21" x14ac:dyDescent="0.35">
      <c r="G385" s="27"/>
      <c r="H385" s="27"/>
      <c r="J385" s="27"/>
      <c r="K385" s="2"/>
      <c r="L385" s="27"/>
      <c r="M385" s="2"/>
      <c r="R385" s="27"/>
      <c r="S385" s="2"/>
      <c r="T385" s="27"/>
      <c r="U385" s="2"/>
    </row>
    <row r="386" spans="7:21" x14ac:dyDescent="0.35">
      <c r="G386" s="27"/>
      <c r="H386" s="27"/>
      <c r="J386" s="27"/>
      <c r="K386" s="2"/>
      <c r="L386" s="27"/>
      <c r="M386" s="2"/>
      <c r="R386" s="27"/>
      <c r="S386" s="2"/>
      <c r="T386" s="27"/>
      <c r="U386" s="2"/>
    </row>
    <row r="387" spans="7:21" x14ac:dyDescent="0.35">
      <c r="G387" s="27"/>
      <c r="H387" s="27"/>
      <c r="J387" s="27"/>
      <c r="K387" s="2"/>
      <c r="L387" s="27"/>
      <c r="M387" s="2"/>
      <c r="R387" s="27"/>
      <c r="S387" s="2"/>
      <c r="T387" s="27"/>
      <c r="U387" s="2"/>
    </row>
    <row r="388" spans="7:21" x14ac:dyDescent="0.35">
      <c r="G388" s="27"/>
      <c r="H388" s="27"/>
      <c r="J388" s="27"/>
      <c r="K388" s="2"/>
      <c r="L388" s="27"/>
      <c r="M388" s="2"/>
      <c r="R388" s="27"/>
      <c r="S388" s="2"/>
      <c r="T388" s="27"/>
      <c r="U388" s="2"/>
    </row>
    <row r="389" spans="7:21" x14ac:dyDescent="0.35">
      <c r="G389" s="27"/>
      <c r="H389" s="27"/>
      <c r="J389" s="27"/>
      <c r="K389" s="2"/>
      <c r="L389" s="27"/>
      <c r="M389" s="2"/>
      <c r="R389" s="27"/>
      <c r="S389" s="2"/>
      <c r="T389" s="27"/>
      <c r="U389" s="2"/>
    </row>
    <row r="390" spans="7:21" x14ac:dyDescent="0.35">
      <c r="G390" s="27"/>
      <c r="H390" s="27"/>
      <c r="J390" s="27"/>
      <c r="K390" s="2"/>
      <c r="L390" s="27"/>
      <c r="M390" s="2"/>
      <c r="R390" s="27"/>
      <c r="S390" s="2"/>
      <c r="T390" s="27"/>
      <c r="U390" s="2"/>
    </row>
    <row r="391" spans="7:21" x14ac:dyDescent="0.35">
      <c r="G391" s="27"/>
      <c r="H391" s="27"/>
      <c r="J391" s="27"/>
      <c r="K391" s="2"/>
      <c r="L391" s="27"/>
      <c r="M391" s="2"/>
      <c r="R391" s="27"/>
      <c r="S391" s="2"/>
      <c r="T391" s="27"/>
      <c r="U391" s="2"/>
    </row>
    <row r="392" spans="7:21" x14ac:dyDescent="0.35">
      <c r="G392" s="27"/>
      <c r="H392" s="27"/>
      <c r="J392" s="27"/>
      <c r="K392" s="2"/>
      <c r="L392" s="27"/>
      <c r="M392" s="2"/>
      <c r="R392" s="27"/>
      <c r="S392" s="2"/>
      <c r="T392" s="27"/>
      <c r="U392" s="2"/>
    </row>
    <row r="393" spans="7:21" x14ac:dyDescent="0.35">
      <c r="G393" s="27"/>
      <c r="H393" s="27"/>
      <c r="J393" s="27"/>
      <c r="K393" s="2"/>
      <c r="L393" s="27"/>
      <c r="M393" s="2"/>
      <c r="R393" s="27"/>
      <c r="S393" s="2"/>
      <c r="T393" s="27"/>
      <c r="U393" s="2"/>
    </row>
    <row r="394" spans="7:21" x14ac:dyDescent="0.35">
      <c r="G394" s="27"/>
      <c r="H394" s="27"/>
      <c r="J394" s="27"/>
      <c r="K394" s="2"/>
      <c r="L394" s="27"/>
      <c r="M394" s="2"/>
      <c r="R394" s="27"/>
      <c r="S394" s="2"/>
      <c r="T394" s="27"/>
      <c r="U394" s="2"/>
    </row>
    <row r="395" spans="7:21" x14ac:dyDescent="0.35">
      <c r="G395" s="27"/>
      <c r="H395" s="27"/>
      <c r="J395" s="27"/>
      <c r="K395" s="2"/>
      <c r="L395" s="27"/>
      <c r="M395" s="2"/>
      <c r="R395" s="27"/>
      <c r="S395" s="2"/>
      <c r="T395" s="27"/>
      <c r="U395" s="2"/>
    </row>
    <row r="396" spans="7:21" x14ac:dyDescent="0.35">
      <c r="G396" s="27"/>
      <c r="H396" s="27"/>
      <c r="J396" s="27"/>
      <c r="K396" s="2"/>
      <c r="L396" s="27"/>
      <c r="M396" s="2"/>
      <c r="R396" s="27"/>
      <c r="S396" s="2"/>
      <c r="T396" s="27"/>
      <c r="U396" s="2"/>
    </row>
    <row r="397" spans="7:21" x14ac:dyDescent="0.35">
      <c r="G397" s="27"/>
      <c r="H397" s="27"/>
      <c r="J397" s="27"/>
      <c r="K397" s="2"/>
      <c r="L397" s="27"/>
      <c r="M397" s="2"/>
      <c r="R397" s="27"/>
      <c r="S397" s="2"/>
      <c r="T397" s="27"/>
      <c r="U397" s="2"/>
    </row>
    <row r="398" spans="7:21" x14ac:dyDescent="0.35">
      <c r="G398" s="27"/>
      <c r="H398" s="27"/>
      <c r="J398" s="27"/>
      <c r="K398" s="2"/>
      <c r="L398" s="27"/>
      <c r="M398" s="2"/>
      <c r="R398" s="27"/>
      <c r="S398" s="2"/>
      <c r="T398" s="27"/>
      <c r="U398" s="2"/>
    </row>
    <row r="399" spans="7:21" x14ac:dyDescent="0.35">
      <c r="G399" s="27"/>
      <c r="H399" s="27"/>
      <c r="J399" s="27"/>
      <c r="K399" s="2"/>
      <c r="L399" s="27"/>
      <c r="M399" s="2"/>
      <c r="R399" s="27"/>
      <c r="S399" s="2"/>
      <c r="T399" s="27"/>
      <c r="U399" s="2"/>
    </row>
    <row r="400" spans="7:21" x14ac:dyDescent="0.35">
      <c r="G400" s="27"/>
      <c r="H400" s="27"/>
      <c r="J400" s="27"/>
      <c r="K400" s="2"/>
      <c r="L400" s="27"/>
      <c r="M400" s="2"/>
      <c r="R400" s="27"/>
      <c r="S400" s="2"/>
      <c r="T400" s="27"/>
      <c r="U400" s="2"/>
    </row>
    <row r="401" spans="7:21" x14ac:dyDescent="0.35">
      <c r="G401" s="27"/>
      <c r="H401" s="27"/>
      <c r="J401" s="27"/>
      <c r="K401" s="2"/>
      <c r="L401" s="27"/>
      <c r="M401" s="2"/>
      <c r="R401" s="27"/>
      <c r="S401" s="2"/>
      <c r="T401" s="27"/>
      <c r="U401" s="2"/>
    </row>
    <row r="402" spans="7:21" x14ac:dyDescent="0.35">
      <c r="G402" s="27"/>
      <c r="H402" s="27"/>
      <c r="J402" s="27"/>
      <c r="K402" s="2"/>
      <c r="L402" s="27"/>
      <c r="M402" s="2"/>
      <c r="R402" s="27"/>
      <c r="S402" s="2"/>
      <c r="T402" s="27"/>
      <c r="U402" s="2"/>
    </row>
    <row r="403" spans="7:21" x14ac:dyDescent="0.35">
      <c r="G403" s="27"/>
      <c r="H403" s="27"/>
      <c r="J403" s="27"/>
      <c r="K403" s="2"/>
      <c r="L403" s="27"/>
      <c r="M403" s="2"/>
      <c r="R403" s="27"/>
      <c r="S403" s="2"/>
      <c r="T403" s="27"/>
      <c r="U403" s="2"/>
    </row>
    <row r="404" spans="7:21" x14ac:dyDescent="0.35">
      <c r="G404" s="27"/>
      <c r="H404" s="27"/>
      <c r="J404" s="27"/>
      <c r="K404" s="2"/>
      <c r="L404" s="27"/>
      <c r="M404" s="2"/>
      <c r="R404" s="27"/>
      <c r="S404" s="2"/>
      <c r="T404" s="27"/>
      <c r="U404" s="2"/>
    </row>
    <row r="405" spans="7:21" x14ac:dyDescent="0.35">
      <c r="G405" s="27"/>
      <c r="H405" s="27"/>
      <c r="J405" s="27"/>
      <c r="K405" s="2"/>
      <c r="L405" s="27"/>
      <c r="M405" s="2"/>
      <c r="R405" s="27"/>
      <c r="S405" s="2"/>
      <c r="T405" s="27"/>
      <c r="U405" s="2"/>
    </row>
    <row r="406" spans="7:21" x14ac:dyDescent="0.35">
      <c r="G406" s="27"/>
      <c r="H406" s="27"/>
      <c r="J406" s="27"/>
      <c r="K406" s="2"/>
      <c r="L406" s="27"/>
      <c r="M406" s="2"/>
      <c r="R406" s="27"/>
      <c r="S406" s="2"/>
      <c r="T406" s="27"/>
      <c r="U406" s="2"/>
    </row>
    <row r="407" spans="7:21" x14ac:dyDescent="0.35">
      <c r="G407" s="27"/>
      <c r="H407" s="27"/>
      <c r="J407" s="27"/>
      <c r="K407" s="2"/>
      <c r="L407" s="27"/>
      <c r="M407" s="2"/>
      <c r="R407" s="27"/>
      <c r="S407" s="2"/>
      <c r="T407" s="27"/>
      <c r="U407" s="2"/>
    </row>
    <row r="408" spans="7:21" x14ac:dyDescent="0.35">
      <c r="G408" s="27"/>
      <c r="H408" s="27"/>
      <c r="J408" s="27"/>
      <c r="K408" s="2"/>
      <c r="L408" s="27"/>
      <c r="M408" s="2"/>
      <c r="R408" s="27"/>
      <c r="S408" s="2"/>
      <c r="T408" s="27"/>
      <c r="U408" s="2"/>
    </row>
    <row r="409" spans="7:21" x14ac:dyDescent="0.35">
      <c r="G409" s="27"/>
      <c r="H409" s="27"/>
      <c r="J409" s="27"/>
      <c r="K409" s="2"/>
      <c r="L409" s="27"/>
      <c r="M409" s="2"/>
      <c r="R409" s="27"/>
      <c r="S409" s="2"/>
      <c r="T409" s="27"/>
      <c r="U409" s="2"/>
    </row>
    <row r="410" spans="7:21" x14ac:dyDescent="0.35">
      <c r="G410" s="27"/>
      <c r="H410" s="27"/>
      <c r="J410" s="27"/>
      <c r="K410" s="2"/>
      <c r="L410" s="27"/>
      <c r="M410" s="2"/>
      <c r="R410" s="27"/>
      <c r="S410" s="2"/>
      <c r="T410" s="27"/>
      <c r="U410" s="2"/>
    </row>
    <row r="411" spans="7:21" x14ac:dyDescent="0.35">
      <c r="G411" s="27"/>
      <c r="H411" s="27"/>
      <c r="J411" s="27"/>
      <c r="K411" s="2"/>
      <c r="L411" s="27"/>
      <c r="M411" s="2"/>
      <c r="R411" s="27"/>
      <c r="S411" s="2"/>
      <c r="T411" s="27"/>
      <c r="U411" s="2"/>
    </row>
    <row r="412" spans="7:21" x14ac:dyDescent="0.35">
      <c r="G412" s="27"/>
      <c r="H412" s="27"/>
      <c r="J412" s="27"/>
      <c r="K412" s="2"/>
      <c r="L412" s="27"/>
      <c r="M412" s="2"/>
      <c r="R412" s="27"/>
      <c r="S412" s="2"/>
      <c r="T412" s="27"/>
      <c r="U412" s="2"/>
    </row>
    <row r="413" spans="7:21" x14ac:dyDescent="0.35">
      <c r="G413" s="27"/>
      <c r="H413" s="27"/>
      <c r="J413" s="27"/>
      <c r="K413" s="2"/>
      <c r="L413" s="27"/>
      <c r="M413" s="2"/>
      <c r="R413" s="27"/>
      <c r="S413" s="2"/>
      <c r="T413" s="27"/>
      <c r="U413" s="2"/>
    </row>
    <row r="414" spans="7:21" x14ac:dyDescent="0.35">
      <c r="G414" s="27"/>
      <c r="H414" s="27"/>
      <c r="J414" s="27"/>
      <c r="K414" s="2"/>
      <c r="L414" s="27"/>
      <c r="M414" s="2"/>
      <c r="R414" s="27"/>
      <c r="S414" s="2"/>
      <c r="T414" s="27"/>
      <c r="U414" s="2"/>
    </row>
    <row r="415" spans="7:21" x14ac:dyDescent="0.35">
      <c r="G415" s="27"/>
      <c r="H415" s="27"/>
      <c r="J415" s="27"/>
      <c r="K415" s="2"/>
      <c r="L415" s="27"/>
      <c r="M415" s="2"/>
      <c r="R415" s="27"/>
      <c r="S415" s="2"/>
      <c r="T415" s="27"/>
      <c r="U415" s="2"/>
    </row>
    <row r="416" spans="7:21" x14ac:dyDescent="0.35">
      <c r="G416" s="27"/>
      <c r="H416" s="27"/>
      <c r="J416" s="27"/>
      <c r="K416" s="2"/>
      <c r="L416" s="27"/>
      <c r="M416" s="2"/>
      <c r="R416" s="27"/>
      <c r="S416" s="2"/>
      <c r="T416" s="27"/>
      <c r="U416" s="2"/>
    </row>
    <row r="417" spans="7:21" x14ac:dyDescent="0.35">
      <c r="G417" s="27"/>
      <c r="H417" s="27"/>
      <c r="J417" s="27"/>
      <c r="K417" s="2"/>
      <c r="L417" s="27"/>
      <c r="M417" s="2"/>
      <c r="R417" s="27"/>
      <c r="S417" s="2"/>
      <c r="T417" s="27"/>
      <c r="U417" s="2"/>
    </row>
    <row r="418" spans="7:21" x14ac:dyDescent="0.35">
      <c r="G418" s="27"/>
      <c r="H418" s="27"/>
      <c r="J418" s="27"/>
      <c r="K418" s="2"/>
      <c r="L418" s="27"/>
      <c r="M418" s="2"/>
      <c r="R418" s="27"/>
      <c r="S418" s="2"/>
      <c r="T418" s="27"/>
      <c r="U418" s="2"/>
    </row>
    <row r="419" spans="7:21" x14ac:dyDescent="0.35">
      <c r="G419" s="27"/>
      <c r="H419" s="27"/>
      <c r="J419" s="27"/>
      <c r="K419" s="2"/>
      <c r="L419" s="27"/>
      <c r="M419" s="2"/>
      <c r="R419" s="27"/>
      <c r="S419" s="2"/>
      <c r="T419" s="27"/>
      <c r="U419" s="2"/>
    </row>
    <row r="420" spans="7:21" x14ac:dyDescent="0.35">
      <c r="G420" s="27"/>
      <c r="H420" s="27"/>
      <c r="J420" s="27"/>
      <c r="K420" s="2"/>
      <c r="L420" s="27"/>
      <c r="M420" s="2"/>
      <c r="R420" s="27"/>
      <c r="S420" s="2"/>
      <c r="T420" s="27"/>
      <c r="U420" s="2"/>
    </row>
    <row r="421" spans="7:21" x14ac:dyDescent="0.35">
      <c r="G421" s="27"/>
      <c r="H421" s="27"/>
      <c r="J421" s="27"/>
      <c r="K421" s="2"/>
      <c r="L421" s="27"/>
      <c r="M421" s="2"/>
      <c r="R421" s="27"/>
      <c r="S421" s="2"/>
      <c r="T421" s="27"/>
      <c r="U421" s="2"/>
    </row>
    <row r="422" spans="7:21" x14ac:dyDescent="0.35">
      <c r="G422" s="27"/>
      <c r="H422" s="27"/>
      <c r="J422" s="27"/>
      <c r="K422" s="2"/>
      <c r="L422" s="27"/>
      <c r="M422" s="2"/>
      <c r="R422" s="27"/>
      <c r="S422" s="2"/>
      <c r="T422" s="27"/>
      <c r="U422" s="2"/>
    </row>
    <row r="423" spans="7:21" x14ac:dyDescent="0.35">
      <c r="G423" s="27"/>
      <c r="H423" s="27"/>
      <c r="J423" s="27"/>
      <c r="K423" s="2"/>
      <c r="L423" s="27"/>
      <c r="M423" s="2"/>
      <c r="R423" s="27"/>
      <c r="S423" s="2"/>
      <c r="T423" s="27"/>
      <c r="U423" s="2"/>
    </row>
    <row r="424" spans="7:21" x14ac:dyDescent="0.35">
      <c r="G424" s="27"/>
      <c r="H424" s="27"/>
      <c r="J424" s="27"/>
      <c r="K424" s="2"/>
      <c r="L424" s="27"/>
      <c r="M424" s="2"/>
      <c r="R424" s="27"/>
      <c r="S424" s="2"/>
      <c r="T424" s="27"/>
      <c r="U424" s="2"/>
    </row>
    <row r="425" spans="7:21" x14ac:dyDescent="0.35">
      <c r="G425" s="27"/>
      <c r="H425" s="27"/>
      <c r="J425" s="27"/>
      <c r="K425" s="2"/>
      <c r="L425" s="27"/>
      <c r="M425" s="2"/>
      <c r="R425" s="27"/>
      <c r="S425" s="2"/>
      <c r="T425" s="27"/>
      <c r="U425" s="2"/>
    </row>
    <row r="426" spans="7:21" x14ac:dyDescent="0.35">
      <c r="G426" s="27"/>
      <c r="H426" s="27"/>
      <c r="J426" s="27"/>
      <c r="K426" s="2"/>
      <c r="L426" s="27"/>
      <c r="M426" s="2"/>
      <c r="R426" s="27"/>
      <c r="S426" s="2"/>
      <c r="T426" s="27"/>
      <c r="U426" s="2"/>
    </row>
    <row r="427" spans="7:21" x14ac:dyDescent="0.35">
      <c r="G427" s="27"/>
      <c r="H427" s="27"/>
      <c r="J427" s="27"/>
      <c r="K427" s="2"/>
      <c r="L427" s="27"/>
      <c r="M427" s="2"/>
      <c r="R427" s="27"/>
      <c r="S427" s="2"/>
      <c r="T427" s="27"/>
      <c r="U427" s="2"/>
    </row>
    <row r="428" spans="7:21" x14ac:dyDescent="0.35">
      <c r="G428" s="27"/>
      <c r="H428" s="27"/>
      <c r="J428" s="27"/>
      <c r="K428" s="2"/>
      <c r="L428" s="27"/>
      <c r="M428" s="2"/>
      <c r="R428" s="27"/>
      <c r="S428" s="2"/>
      <c r="T428" s="27"/>
      <c r="U428" s="2"/>
    </row>
    <row r="429" spans="7:21" x14ac:dyDescent="0.35">
      <c r="G429" s="27"/>
      <c r="H429" s="27"/>
      <c r="J429" s="27"/>
      <c r="K429" s="2"/>
      <c r="L429" s="27"/>
      <c r="M429" s="2"/>
      <c r="R429" s="27"/>
      <c r="S429" s="2"/>
      <c r="T429" s="27"/>
      <c r="U429" s="2"/>
    </row>
    <row r="430" spans="7:21" x14ac:dyDescent="0.35">
      <c r="G430" s="27"/>
      <c r="H430" s="27"/>
      <c r="J430" s="27"/>
      <c r="K430" s="2"/>
      <c r="L430" s="27"/>
      <c r="M430" s="2"/>
      <c r="R430" s="27"/>
      <c r="S430" s="2"/>
      <c r="T430" s="27"/>
      <c r="U430" s="2"/>
    </row>
    <row r="431" spans="7:21" x14ac:dyDescent="0.35">
      <c r="G431" s="27"/>
      <c r="H431" s="27"/>
      <c r="J431" s="27"/>
      <c r="K431" s="2"/>
      <c r="L431" s="27"/>
      <c r="M431" s="2"/>
      <c r="R431" s="27"/>
      <c r="S431" s="2"/>
      <c r="T431" s="27"/>
      <c r="U431" s="2"/>
    </row>
    <row r="432" spans="7:21" x14ac:dyDescent="0.35">
      <c r="G432" s="27"/>
      <c r="H432" s="27"/>
      <c r="J432" s="27"/>
      <c r="K432" s="2"/>
      <c r="L432" s="27"/>
      <c r="M432" s="2"/>
      <c r="R432" s="27"/>
      <c r="S432" s="2"/>
      <c r="T432" s="27"/>
      <c r="U432" s="2"/>
    </row>
    <row r="433" spans="7:21" x14ac:dyDescent="0.35">
      <c r="G433" s="27"/>
      <c r="H433" s="27"/>
      <c r="J433" s="27"/>
      <c r="K433" s="2"/>
      <c r="L433" s="27"/>
      <c r="M433" s="2"/>
      <c r="R433" s="27"/>
      <c r="S433" s="2"/>
      <c r="T433" s="27"/>
      <c r="U433" s="2"/>
    </row>
    <row r="434" spans="7:21" x14ac:dyDescent="0.35">
      <c r="G434" s="27"/>
      <c r="H434" s="27"/>
      <c r="J434" s="27"/>
      <c r="K434" s="2"/>
      <c r="L434" s="27"/>
      <c r="M434" s="2"/>
      <c r="R434" s="27"/>
      <c r="S434" s="2"/>
      <c r="T434" s="27"/>
      <c r="U434" s="2"/>
    </row>
    <row r="435" spans="7:21" x14ac:dyDescent="0.35">
      <c r="G435" s="27"/>
      <c r="H435" s="27"/>
      <c r="J435" s="27"/>
      <c r="K435" s="2"/>
      <c r="L435" s="27"/>
      <c r="M435" s="2"/>
      <c r="R435" s="27"/>
      <c r="S435" s="2"/>
      <c r="T435" s="27"/>
      <c r="U435" s="2"/>
    </row>
    <row r="436" spans="7:21" x14ac:dyDescent="0.35">
      <c r="G436" s="27"/>
      <c r="H436" s="27"/>
      <c r="J436" s="27"/>
      <c r="K436" s="2"/>
      <c r="L436" s="27"/>
      <c r="M436" s="2"/>
      <c r="R436" s="27"/>
      <c r="S436" s="2"/>
      <c r="T436" s="27"/>
      <c r="U436" s="2"/>
    </row>
    <row r="437" spans="7:21" x14ac:dyDescent="0.35">
      <c r="G437" s="27"/>
      <c r="H437" s="27"/>
      <c r="J437" s="27"/>
      <c r="K437" s="2"/>
      <c r="L437" s="27"/>
      <c r="M437" s="2"/>
      <c r="R437" s="27"/>
      <c r="S437" s="2"/>
      <c r="T437" s="27"/>
      <c r="U437" s="2"/>
    </row>
    <row r="438" spans="7:21" x14ac:dyDescent="0.35">
      <c r="G438" s="27"/>
      <c r="H438" s="27"/>
      <c r="J438" s="27"/>
      <c r="K438" s="2"/>
      <c r="L438" s="27"/>
      <c r="M438" s="2"/>
      <c r="R438" s="27"/>
      <c r="S438" s="2"/>
      <c r="T438" s="27"/>
      <c r="U438" s="2"/>
    </row>
    <row r="439" spans="7:21" x14ac:dyDescent="0.35">
      <c r="G439" s="27"/>
      <c r="H439" s="27"/>
      <c r="J439" s="27"/>
      <c r="K439" s="2"/>
      <c r="L439" s="27"/>
      <c r="M439" s="2"/>
      <c r="R439" s="27"/>
      <c r="S439" s="2"/>
      <c r="T439" s="27"/>
      <c r="U439" s="2"/>
    </row>
    <row r="440" spans="7:21" x14ac:dyDescent="0.35">
      <c r="G440" s="27"/>
      <c r="H440" s="27"/>
      <c r="J440" s="27"/>
      <c r="K440" s="2"/>
      <c r="L440" s="27"/>
      <c r="M440" s="2"/>
      <c r="R440" s="27"/>
      <c r="S440" s="2"/>
      <c r="T440" s="27"/>
      <c r="U440" s="2"/>
    </row>
    <row r="441" spans="7:21" x14ac:dyDescent="0.35">
      <c r="G441" s="27"/>
      <c r="H441" s="27"/>
      <c r="J441" s="27"/>
      <c r="K441" s="2"/>
      <c r="L441" s="27"/>
      <c r="M441" s="2"/>
      <c r="R441" s="27"/>
      <c r="S441" s="2"/>
      <c r="T441" s="27"/>
      <c r="U441" s="2"/>
    </row>
    <row r="442" spans="7:21" x14ac:dyDescent="0.35">
      <c r="G442" s="27"/>
      <c r="H442" s="27"/>
      <c r="J442" s="27"/>
      <c r="K442" s="2"/>
      <c r="L442" s="27"/>
      <c r="M442" s="2"/>
      <c r="R442" s="27"/>
      <c r="S442" s="2"/>
      <c r="T442" s="27"/>
      <c r="U442" s="2"/>
    </row>
    <row r="443" spans="7:21" x14ac:dyDescent="0.35">
      <c r="G443" s="27"/>
      <c r="H443" s="27"/>
      <c r="J443" s="27"/>
      <c r="K443" s="2"/>
      <c r="L443" s="27"/>
      <c r="M443" s="2"/>
      <c r="R443" s="27"/>
      <c r="S443" s="2"/>
      <c r="T443" s="27"/>
      <c r="U443" s="2"/>
    </row>
    <row r="444" spans="7:21" x14ac:dyDescent="0.35">
      <c r="G444" s="27"/>
      <c r="H444" s="27"/>
      <c r="J444" s="27"/>
      <c r="K444" s="2"/>
      <c r="L444" s="27"/>
      <c r="M444" s="2"/>
      <c r="R444" s="27"/>
      <c r="S444" s="2"/>
      <c r="T444" s="27"/>
      <c r="U444" s="2"/>
    </row>
    <row r="445" spans="7:21" x14ac:dyDescent="0.35">
      <c r="G445" s="27"/>
      <c r="H445" s="27"/>
      <c r="J445" s="27"/>
      <c r="K445" s="2"/>
      <c r="L445" s="27"/>
      <c r="M445" s="2"/>
      <c r="R445" s="27"/>
      <c r="S445" s="2"/>
      <c r="T445" s="27"/>
      <c r="U445" s="2"/>
    </row>
    <row r="446" spans="7:21" x14ac:dyDescent="0.35">
      <c r="G446" s="27"/>
      <c r="H446" s="27"/>
      <c r="J446" s="27"/>
      <c r="K446" s="2"/>
      <c r="L446" s="27"/>
      <c r="M446" s="2"/>
      <c r="R446" s="27"/>
      <c r="S446" s="2"/>
      <c r="T446" s="27"/>
      <c r="U446" s="2"/>
    </row>
    <row r="447" spans="7:21" x14ac:dyDescent="0.35">
      <c r="G447" s="27"/>
      <c r="H447" s="27"/>
      <c r="J447" s="27"/>
      <c r="K447" s="2"/>
      <c r="L447" s="27"/>
      <c r="M447" s="2"/>
      <c r="R447" s="27"/>
      <c r="S447" s="2"/>
      <c r="T447" s="27"/>
      <c r="U447" s="2"/>
    </row>
    <row r="448" spans="7:21" x14ac:dyDescent="0.35">
      <c r="G448" s="27"/>
      <c r="H448" s="27"/>
      <c r="J448" s="27"/>
      <c r="K448" s="2"/>
      <c r="L448" s="27"/>
      <c r="M448" s="2"/>
      <c r="R448" s="27"/>
      <c r="S448" s="2"/>
      <c r="T448" s="27"/>
      <c r="U448" s="2"/>
    </row>
    <row r="449" spans="7:21" x14ac:dyDescent="0.35">
      <c r="G449" s="27"/>
      <c r="H449" s="27"/>
      <c r="J449" s="27"/>
      <c r="K449" s="2"/>
      <c r="L449" s="27"/>
      <c r="M449" s="2"/>
      <c r="R449" s="27"/>
      <c r="S449" s="2"/>
      <c r="T449" s="27"/>
      <c r="U449" s="2"/>
    </row>
    <row r="450" spans="7:21" x14ac:dyDescent="0.35">
      <c r="G450" s="27"/>
      <c r="H450" s="27"/>
      <c r="J450" s="27"/>
      <c r="K450" s="2"/>
      <c r="L450" s="27"/>
      <c r="M450" s="2"/>
      <c r="R450" s="27"/>
      <c r="S450" s="2"/>
      <c r="T450" s="27"/>
      <c r="U450" s="2"/>
    </row>
    <row r="451" spans="7:21" x14ac:dyDescent="0.35">
      <c r="G451" s="27"/>
      <c r="H451" s="27"/>
      <c r="J451" s="27"/>
      <c r="K451" s="2"/>
      <c r="L451" s="27"/>
      <c r="M451" s="2"/>
      <c r="R451" s="27"/>
      <c r="S451" s="2"/>
      <c r="T451" s="27"/>
      <c r="U451" s="2"/>
    </row>
    <row r="452" spans="7:21" x14ac:dyDescent="0.35">
      <c r="G452" s="27"/>
      <c r="H452" s="27"/>
      <c r="J452" s="27"/>
      <c r="K452" s="2"/>
      <c r="L452" s="27"/>
      <c r="M452" s="2"/>
      <c r="R452" s="27"/>
      <c r="S452" s="2"/>
      <c r="T452" s="27"/>
      <c r="U452" s="2"/>
    </row>
    <row r="453" spans="7:21" x14ac:dyDescent="0.35">
      <c r="G453" s="27"/>
      <c r="H453" s="27"/>
      <c r="J453" s="27"/>
      <c r="K453" s="2"/>
      <c r="L453" s="27"/>
      <c r="M453" s="2"/>
      <c r="R453" s="27"/>
      <c r="S453" s="2"/>
      <c r="T453" s="27"/>
      <c r="U453" s="2"/>
    </row>
    <row r="454" spans="7:21" x14ac:dyDescent="0.35">
      <c r="G454" s="27"/>
      <c r="H454" s="27"/>
      <c r="J454" s="27"/>
      <c r="K454" s="2"/>
      <c r="L454" s="27"/>
      <c r="M454" s="2"/>
      <c r="R454" s="27"/>
      <c r="S454" s="2"/>
      <c r="T454" s="27"/>
      <c r="U454" s="2"/>
    </row>
    <row r="455" spans="7:21" x14ac:dyDescent="0.35">
      <c r="G455" s="27"/>
      <c r="H455" s="27"/>
      <c r="J455" s="27"/>
      <c r="K455" s="2"/>
      <c r="L455" s="27"/>
      <c r="M455" s="2"/>
      <c r="R455" s="27"/>
      <c r="S455" s="2"/>
      <c r="T455" s="27"/>
      <c r="U455" s="2"/>
    </row>
    <row r="456" spans="7:21" x14ac:dyDescent="0.35">
      <c r="G456" s="27"/>
      <c r="H456" s="27"/>
      <c r="J456" s="27"/>
      <c r="K456" s="2"/>
      <c r="L456" s="27"/>
      <c r="M456" s="2"/>
      <c r="R456" s="27"/>
      <c r="S456" s="2"/>
      <c r="T456" s="27"/>
      <c r="U456" s="2"/>
    </row>
    <row r="457" spans="7:21" x14ac:dyDescent="0.35">
      <c r="G457" s="27"/>
      <c r="H457" s="27"/>
      <c r="J457" s="27"/>
      <c r="K457" s="2"/>
      <c r="L457" s="27"/>
      <c r="M457" s="2"/>
      <c r="R457" s="27"/>
      <c r="S457" s="2"/>
      <c r="T457" s="27"/>
      <c r="U457" s="2"/>
    </row>
    <row r="458" spans="7:21" x14ac:dyDescent="0.35">
      <c r="G458" s="27"/>
      <c r="H458" s="27"/>
      <c r="J458" s="27"/>
      <c r="K458" s="2"/>
      <c r="L458" s="27"/>
      <c r="M458" s="2"/>
      <c r="R458" s="27"/>
      <c r="S458" s="2"/>
      <c r="T458" s="27"/>
      <c r="U458" s="2"/>
    </row>
    <row r="459" spans="7:21" x14ac:dyDescent="0.35">
      <c r="G459" s="27"/>
      <c r="H459" s="27"/>
      <c r="J459" s="27"/>
      <c r="K459" s="2"/>
      <c r="L459" s="27"/>
      <c r="M459" s="2"/>
      <c r="R459" s="27"/>
      <c r="S459" s="2"/>
      <c r="T459" s="27"/>
      <c r="U459" s="2"/>
    </row>
    <row r="460" spans="7:21" x14ac:dyDescent="0.35">
      <c r="G460" s="27"/>
      <c r="H460" s="27"/>
      <c r="J460" s="27"/>
      <c r="K460" s="2"/>
      <c r="L460" s="27"/>
      <c r="M460" s="2"/>
      <c r="R460" s="27"/>
      <c r="S460" s="2"/>
      <c r="T460" s="27"/>
      <c r="U460" s="2"/>
    </row>
    <row r="461" spans="7:21" x14ac:dyDescent="0.35">
      <c r="G461" s="27"/>
      <c r="H461" s="27"/>
      <c r="J461" s="27"/>
      <c r="K461" s="2"/>
      <c r="L461" s="27"/>
      <c r="M461" s="2"/>
      <c r="R461" s="27"/>
      <c r="S461" s="2"/>
      <c r="T461" s="27"/>
      <c r="U461" s="2"/>
    </row>
    <row r="462" spans="7:21" x14ac:dyDescent="0.35">
      <c r="G462" s="27"/>
      <c r="H462" s="27"/>
      <c r="J462" s="27"/>
      <c r="K462" s="2"/>
      <c r="L462" s="27"/>
      <c r="M462" s="2"/>
      <c r="R462" s="27"/>
      <c r="S462" s="2"/>
      <c r="T462" s="27"/>
      <c r="U462" s="2"/>
    </row>
    <row r="463" spans="7:21" x14ac:dyDescent="0.35">
      <c r="G463" s="27"/>
      <c r="H463" s="27"/>
      <c r="J463" s="27"/>
      <c r="K463" s="2"/>
      <c r="L463" s="27"/>
      <c r="M463" s="2"/>
      <c r="R463" s="27"/>
      <c r="S463" s="2"/>
      <c r="T463" s="27"/>
      <c r="U463" s="2"/>
    </row>
    <row r="464" spans="7:21" x14ac:dyDescent="0.35">
      <c r="G464" s="27"/>
      <c r="H464" s="27"/>
      <c r="J464" s="27"/>
      <c r="K464" s="2"/>
      <c r="L464" s="27"/>
      <c r="M464" s="2"/>
      <c r="R464" s="27"/>
      <c r="S464" s="2"/>
      <c r="T464" s="27"/>
      <c r="U464" s="2"/>
    </row>
    <row r="465" spans="7:21" x14ac:dyDescent="0.35">
      <c r="G465" s="27"/>
      <c r="H465" s="27"/>
      <c r="J465" s="27"/>
      <c r="K465" s="2"/>
      <c r="L465" s="27"/>
      <c r="M465" s="2"/>
      <c r="R465" s="27"/>
      <c r="S465" s="2"/>
      <c r="T465" s="27"/>
      <c r="U465" s="2"/>
    </row>
    <row r="466" spans="7:21" x14ac:dyDescent="0.35">
      <c r="G466" s="27"/>
      <c r="H466" s="27"/>
      <c r="J466" s="27"/>
      <c r="K466" s="2"/>
      <c r="L466" s="27"/>
      <c r="M466" s="2"/>
      <c r="R466" s="27"/>
      <c r="S466" s="2"/>
      <c r="T466" s="27"/>
      <c r="U466" s="2"/>
    </row>
    <row r="467" spans="7:21" x14ac:dyDescent="0.35">
      <c r="G467" s="27"/>
      <c r="H467" s="27"/>
      <c r="J467" s="27"/>
      <c r="K467" s="2"/>
      <c r="L467" s="27"/>
      <c r="M467" s="2"/>
      <c r="R467" s="27"/>
      <c r="S467" s="2"/>
      <c r="T467" s="27"/>
      <c r="U467" s="2"/>
    </row>
    <row r="468" spans="7:21" x14ac:dyDescent="0.35">
      <c r="G468" s="27"/>
      <c r="H468" s="27"/>
      <c r="J468" s="27"/>
      <c r="K468" s="2"/>
      <c r="L468" s="27"/>
      <c r="M468" s="2"/>
      <c r="R468" s="27"/>
      <c r="S468" s="2"/>
      <c r="T468" s="27"/>
      <c r="U468" s="2"/>
    </row>
    <row r="469" spans="7:21" x14ac:dyDescent="0.35">
      <c r="G469" s="27"/>
      <c r="H469" s="27"/>
      <c r="J469" s="27"/>
      <c r="K469" s="2"/>
      <c r="L469" s="27"/>
      <c r="M469" s="2"/>
      <c r="R469" s="27"/>
      <c r="S469" s="2"/>
      <c r="T469" s="27"/>
      <c r="U469" s="2"/>
    </row>
    <row r="470" spans="7:21" x14ac:dyDescent="0.35">
      <c r="G470" s="27"/>
      <c r="H470" s="27"/>
      <c r="J470" s="27"/>
      <c r="K470" s="2"/>
      <c r="L470" s="27"/>
      <c r="M470" s="2"/>
      <c r="R470" s="27"/>
      <c r="S470" s="2"/>
      <c r="T470" s="27"/>
      <c r="U470" s="2"/>
    </row>
    <row r="471" spans="7:21" x14ac:dyDescent="0.35">
      <c r="G471" s="27"/>
      <c r="H471" s="27"/>
      <c r="J471" s="27"/>
      <c r="K471" s="2"/>
      <c r="L471" s="27"/>
      <c r="M471" s="2"/>
      <c r="R471" s="27"/>
      <c r="S471" s="2"/>
      <c r="T471" s="27"/>
      <c r="U471" s="2"/>
    </row>
    <row r="472" spans="7:21" x14ac:dyDescent="0.35">
      <c r="G472" s="27"/>
      <c r="H472" s="27"/>
      <c r="J472" s="27"/>
      <c r="K472" s="2"/>
      <c r="L472" s="27"/>
      <c r="M472" s="2"/>
      <c r="R472" s="27"/>
      <c r="S472" s="2"/>
      <c r="T472" s="27"/>
      <c r="U472" s="2"/>
    </row>
    <row r="473" spans="7:21" x14ac:dyDescent="0.35">
      <c r="G473" s="27"/>
      <c r="H473" s="27"/>
      <c r="J473" s="27"/>
      <c r="K473" s="2"/>
      <c r="L473" s="27"/>
      <c r="M473" s="2"/>
      <c r="R473" s="27"/>
      <c r="S473" s="2"/>
      <c r="T473" s="27"/>
      <c r="U473" s="2"/>
    </row>
    <row r="474" spans="7:21" x14ac:dyDescent="0.35">
      <c r="G474" s="27"/>
      <c r="H474" s="27"/>
      <c r="J474" s="27"/>
      <c r="K474" s="2"/>
      <c r="L474" s="27"/>
      <c r="M474" s="2"/>
      <c r="R474" s="27"/>
      <c r="S474" s="2"/>
      <c r="T474" s="27"/>
      <c r="U474" s="2"/>
    </row>
    <row r="475" spans="7:21" x14ac:dyDescent="0.35">
      <c r="G475" s="27"/>
      <c r="H475" s="27"/>
      <c r="J475" s="27"/>
      <c r="K475" s="2"/>
      <c r="L475" s="27"/>
      <c r="M475" s="2"/>
      <c r="R475" s="27"/>
      <c r="S475" s="2"/>
      <c r="T475" s="27"/>
      <c r="U475" s="2"/>
    </row>
    <row r="476" spans="7:21" x14ac:dyDescent="0.35">
      <c r="G476" s="27"/>
      <c r="H476" s="27"/>
      <c r="J476" s="27"/>
      <c r="K476" s="2"/>
      <c r="L476" s="27"/>
      <c r="M476" s="2"/>
      <c r="R476" s="27"/>
      <c r="S476" s="2"/>
      <c r="T476" s="27"/>
      <c r="U476" s="2"/>
    </row>
    <row r="477" spans="7:21" x14ac:dyDescent="0.35">
      <c r="G477" s="27"/>
      <c r="H477" s="27"/>
      <c r="J477" s="27"/>
      <c r="K477" s="2"/>
      <c r="L477" s="27"/>
      <c r="M477" s="2"/>
      <c r="R477" s="27"/>
      <c r="S477" s="2"/>
      <c r="T477" s="27"/>
      <c r="U477" s="2"/>
    </row>
    <row r="478" spans="7:21" x14ac:dyDescent="0.35">
      <c r="G478" s="27"/>
      <c r="H478" s="27"/>
      <c r="J478" s="27"/>
      <c r="K478" s="2"/>
      <c r="L478" s="27"/>
      <c r="M478" s="2"/>
      <c r="R478" s="27"/>
      <c r="S478" s="2"/>
      <c r="T478" s="27"/>
      <c r="U478" s="2"/>
    </row>
    <row r="479" spans="7:21" x14ac:dyDescent="0.35">
      <c r="G479" s="27"/>
      <c r="H479" s="27"/>
      <c r="J479" s="27"/>
      <c r="K479" s="2"/>
      <c r="L479" s="27"/>
      <c r="M479" s="2"/>
      <c r="R479" s="27"/>
      <c r="S479" s="2"/>
      <c r="T479" s="27"/>
      <c r="U479" s="2"/>
    </row>
    <row r="480" spans="7:21" x14ac:dyDescent="0.35">
      <c r="G480" s="27"/>
      <c r="H480" s="27"/>
      <c r="J480" s="27"/>
      <c r="K480" s="2"/>
      <c r="L480" s="27"/>
      <c r="M480" s="2"/>
      <c r="R480" s="27"/>
      <c r="S480" s="2"/>
      <c r="T480" s="27"/>
      <c r="U480" s="2"/>
    </row>
    <row r="481" spans="7:21" x14ac:dyDescent="0.35">
      <c r="G481" s="27"/>
      <c r="H481" s="27"/>
      <c r="J481" s="27"/>
      <c r="K481" s="2"/>
      <c r="L481" s="27"/>
      <c r="M481" s="2"/>
      <c r="R481" s="27"/>
      <c r="S481" s="2"/>
      <c r="T481" s="27"/>
      <c r="U481" s="2"/>
    </row>
    <row r="482" spans="7:21" x14ac:dyDescent="0.35">
      <c r="G482" s="27"/>
      <c r="H482" s="27"/>
      <c r="J482" s="27"/>
      <c r="K482" s="2"/>
      <c r="L482" s="27"/>
      <c r="M482" s="2"/>
      <c r="R482" s="27"/>
      <c r="S482" s="2"/>
      <c r="T482" s="27"/>
      <c r="U482" s="2"/>
    </row>
    <row r="483" spans="7:21" x14ac:dyDescent="0.35">
      <c r="G483" s="27"/>
      <c r="H483" s="27"/>
      <c r="J483" s="27"/>
      <c r="K483" s="2"/>
      <c r="L483" s="27"/>
      <c r="M483" s="2"/>
      <c r="R483" s="27"/>
      <c r="S483" s="2"/>
      <c r="T483" s="27"/>
      <c r="U483" s="2"/>
    </row>
    <row r="484" spans="7:21" x14ac:dyDescent="0.35">
      <c r="G484" s="27"/>
      <c r="H484" s="27"/>
      <c r="J484" s="27"/>
      <c r="K484" s="2"/>
      <c r="L484" s="27"/>
      <c r="M484" s="2"/>
      <c r="R484" s="27"/>
      <c r="S484" s="2"/>
      <c r="T484" s="27"/>
      <c r="U484" s="2"/>
    </row>
    <row r="485" spans="7:21" x14ac:dyDescent="0.35">
      <c r="G485" s="27"/>
      <c r="H485" s="27"/>
      <c r="J485" s="27"/>
      <c r="K485" s="2"/>
      <c r="L485" s="27"/>
      <c r="M485" s="2"/>
      <c r="R485" s="27"/>
      <c r="S485" s="2"/>
      <c r="T485" s="27"/>
      <c r="U485" s="2"/>
    </row>
    <row r="486" spans="7:21" x14ac:dyDescent="0.35">
      <c r="G486" s="27"/>
      <c r="H486" s="27"/>
      <c r="J486" s="27"/>
      <c r="K486" s="2"/>
      <c r="L486" s="27"/>
      <c r="M486" s="2"/>
      <c r="R486" s="27"/>
      <c r="S486" s="2"/>
      <c r="T486" s="27"/>
      <c r="U486" s="2"/>
    </row>
    <row r="487" spans="7:21" x14ac:dyDescent="0.35">
      <c r="G487" s="27"/>
      <c r="H487" s="27"/>
      <c r="J487" s="27"/>
      <c r="K487" s="2"/>
      <c r="L487" s="27"/>
      <c r="M487" s="2"/>
      <c r="R487" s="27"/>
      <c r="S487" s="2"/>
      <c r="T487" s="27"/>
      <c r="U487" s="2"/>
    </row>
    <row r="488" spans="7:21" x14ac:dyDescent="0.35">
      <c r="G488" s="27"/>
      <c r="H488" s="27"/>
      <c r="J488" s="27"/>
      <c r="K488" s="2"/>
      <c r="L488" s="27"/>
      <c r="M488" s="2"/>
      <c r="R488" s="27"/>
      <c r="S488" s="2"/>
      <c r="T488" s="27"/>
      <c r="U488" s="2"/>
    </row>
    <row r="489" spans="7:21" x14ac:dyDescent="0.35">
      <c r="G489" s="27"/>
      <c r="H489" s="27"/>
      <c r="J489" s="27"/>
      <c r="K489" s="2"/>
      <c r="L489" s="27"/>
      <c r="M489" s="2"/>
      <c r="R489" s="27"/>
      <c r="S489" s="2"/>
      <c r="T489" s="27"/>
      <c r="U489" s="2"/>
    </row>
    <row r="490" spans="7:21" x14ac:dyDescent="0.35">
      <c r="G490" s="27"/>
      <c r="H490" s="27"/>
      <c r="J490" s="27"/>
      <c r="K490" s="2"/>
      <c r="L490" s="27"/>
      <c r="M490" s="2"/>
      <c r="R490" s="27"/>
      <c r="S490" s="2"/>
      <c r="T490" s="27"/>
      <c r="U490" s="2"/>
    </row>
    <row r="491" spans="7:21" x14ac:dyDescent="0.35">
      <c r="G491" s="27"/>
      <c r="H491" s="27"/>
      <c r="J491" s="27"/>
      <c r="K491" s="2"/>
      <c r="L491" s="27"/>
      <c r="M491" s="2"/>
      <c r="R491" s="27"/>
      <c r="S491" s="2"/>
      <c r="T491" s="27"/>
      <c r="U491" s="2"/>
    </row>
    <row r="492" spans="7:21" x14ac:dyDescent="0.35">
      <c r="G492" s="27"/>
      <c r="H492" s="27"/>
      <c r="J492" s="27"/>
      <c r="K492" s="2"/>
      <c r="L492" s="27"/>
      <c r="M492" s="2"/>
      <c r="R492" s="27"/>
      <c r="S492" s="2"/>
      <c r="T492" s="27"/>
      <c r="U492" s="2"/>
    </row>
    <row r="493" spans="7:21" x14ac:dyDescent="0.35">
      <c r="G493" s="27"/>
      <c r="H493" s="27"/>
      <c r="J493" s="27"/>
      <c r="K493" s="2"/>
      <c r="L493" s="27"/>
      <c r="M493" s="2"/>
      <c r="R493" s="27"/>
      <c r="S493" s="2"/>
      <c r="T493" s="27"/>
      <c r="U493" s="2"/>
    </row>
    <row r="494" spans="7:21" x14ac:dyDescent="0.35">
      <c r="G494" s="27"/>
      <c r="H494" s="27"/>
      <c r="J494" s="27"/>
      <c r="K494" s="2"/>
      <c r="L494" s="27"/>
      <c r="M494" s="2"/>
      <c r="R494" s="27"/>
      <c r="S494" s="2"/>
      <c r="T494" s="27"/>
      <c r="U494" s="2"/>
    </row>
    <row r="495" spans="7:21" x14ac:dyDescent="0.35">
      <c r="G495" s="27"/>
      <c r="H495" s="27"/>
      <c r="J495" s="27"/>
      <c r="K495" s="2"/>
      <c r="L495" s="27"/>
      <c r="M495" s="2"/>
      <c r="R495" s="27"/>
      <c r="S495" s="2"/>
      <c r="T495" s="27"/>
      <c r="U495" s="2"/>
    </row>
    <row r="496" spans="7:21" x14ac:dyDescent="0.35">
      <c r="G496" s="27"/>
      <c r="H496" s="27"/>
      <c r="J496" s="27"/>
      <c r="K496" s="2"/>
      <c r="L496" s="27"/>
      <c r="M496" s="2"/>
      <c r="R496" s="27"/>
      <c r="S496" s="2"/>
      <c r="T496" s="27"/>
      <c r="U496" s="2"/>
    </row>
    <row r="497" spans="7:21" x14ac:dyDescent="0.35">
      <c r="G497" s="27"/>
      <c r="H497" s="27"/>
      <c r="J497" s="27"/>
      <c r="K497" s="2"/>
      <c r="L497" s="27"/>
      <c r="M497" s="2"/>
      <c r="R497" s="27"/>
      <c r="S497" s="2"/>
      <c r="T497" s="27"/>
      <c r="U497" s="2"/>
    </row>
    <row r="498" spans="7:21" x14ac:dyDescent="0.35">
      <c r="G498" s="27"/>
      <c r="H498" s="27"/>
      <c r="J498" s="27"/>
      <c r="K498" s="2"/>
      <c r="L498" s="27"/>
      <c r="M498" s="2"/>
      <c r="R498" s="27"/>
      <c r="S498" s="2"/>
      <c r="T498" s="27"/>
      <c r="U498" s="2"/>
    </row>
    <row r="499" spans="7:21" x14ac:dyDescent="0.35">
      <c r="G499" s="27"/>
      <c r="H499" s="27"/>
      <c r="J499" s="27"/>
      <c r="K499" s="2"/>
      <c r="L499" s="27"/>
      <c r="M499" s="2"/>
      <c r="R499" s="27"/>
      <c r="S499" s="2"/>
      <c r="T499" s="27"/>
      <c r="U499" s="2"/>
    </row>
    <row r="500" spans="7:21" x14ac:dyDescent="0.35">
      <c r="G500" s="27"/>
      <c r="H500" s="27"/>
      <c r="J500" s="27"/>
      <c r="K500" s="2"/>
      <c r="L500" s="27"/>
      <c r="M500" s="2"/>
      <c r="R500" s="27"/>
      <c r="S500" s="2"/>
      <c r="T500" s="27"/>
      <c r="U500" s="2"/>
    </row>
    <row r="501" spans="7:21" x14ac:dyDescent="0.35">
      <c r="G501" s="27"/>
      <c r="H501" s="27"/>
      <c r="J501" s="27"/>
      <c r="K501" s="2"/>
      <c r="L501" s="27"/>
      <c r="M501" s="2"/>
      <c r="R501" s="27"/>
      <c r="S501" s="2"/>
      <c r="T501" s="27"/>
      <c r="U501" s="2"/>
    </row>
    <row r="502" spans="7:21" x14ac:dyDescent="0.35">
      <c r="K502" s="2"/>
      <c r="L502" s="27"/>
      <c r="M502" s="2"/>
      <c r="S502" s="2"/>
      <c r="T502" s="27"/>
      <c r="U502" s="2"/>
    </row>
    <row r="503" spans="7:21" x14ac:dyDescent="0.35">
      <c r="K503" s="2"/>
      <c r="L503" s="27"/>
      <c r="M503" s="2"/>
      <c r="S503" s="2"/>
      <c r="T503" s="27"/>
      <c r="U503" s="2"/>
    </row>
    <row r="504" spans="7:21" x14ac:dyDescent="0.35">
      <c r="K504" s="2"/>
      <c r="L504" s="27"/>
      <c r="M504" s="2"/>
      <c r="S504" s="2"/>
      <c r="T504" s="27"/>
      <c r="U504" s="2"/>
    </row>
    <row r="505" spans="7:21" x14ac:dyDescent="0.35">
      <c r="K505" s="2"/>
      <c r="L505" s="27"/>
      <c r="M505" s="2"/>
      <c r="S505" s="2"/>
      <c r="T505" s="27"/>
      <c r="U505" s="2"/>
    </row>
    <row r="506" spans="7:21" x14ac:dyDescent="0.35">
      <c r="K506" s="2"/>
      <c r="L506" s="27"/>
      <c r="M506" s="2"/>
      <c r="S506" s="2"/>
      <c r="T506" s="27"/>
      <c r="U506" s="2"/>
    </row>
    <row r="507" spans="7:21" x14ac:dyDescent="0.35">
      <c r="K507" s="2"/>
      <c r="L507" s="27"/>
      <c r="M507" s="2"/>
      <c r="S507" s="2"/>
      <c r="T507" s="27"/>
      <c r="U507" s="2"/>
    </row>
    <row r="508" spans="7:21" x14ac:dyDescent="0.35">
      <c r="K508" s="2"/>
      <c r="L508" s="27"/>
      <c r="M508" s="2"/>
      <c r="S508" s="2"/>
      <c r="T508" s="27"/>
      <c r="U508" s="2"/>
    </row>
    <row r="509" spans="7:21" x14ac:dyDescent="0.35">
      <c r="K509" s="2"/>
      <c r="L509" s="27"/>
      <c r="M509" s="2"/>
      <c r="S509" s="2"/>
      <c r="T509" s="27"/>
      <c r="U509" s="2"/>
    </row>
    <row r="510" spans="7:21" x14ac:dyDescent="0.35">
      <c r="K510" s="2"/>
      <c r="L510" s="27"/>
      <c r="M510" s="2"/>
      <c r="S510" s="2"/>
      <c r="T510" s="27"/>
      <c r="U510" s="2"/>
    </row>
    <row r="511" spans="7:21" x14ac:dyDescent="0.35">
      <c r="K511" s="2"/>
      <c r="L511" s="27"/>
      <c r="M511" s="2"/>
      <c r="S511" s="2"/>
      <c r="T511" s="27"/>
      <c r="U511" s="2"/>
    </row>
    <row r="512" spans="7:21" x14ac:dyDescent="0.35">
      <c r="K512" s="2"/>
      <c r="L512" s="27"/>
      <c r="M512" s="2"/>
      <c r="S512" s="2"/>
      <c r="T512" s="27"/>
      <c r="U512" s="2"/>
    </row>
    <row r="513" spans="11:21" x14ac:dyDescent="0.35">
      <c r="K513" s="2"/>
      <c r="L513" s="27"/>
      <c r="M513" s="2"/>
      <c r="S513" s="2"/>
      <c r="T513" s="27"/>
      <c r="U513" s="2"/>
    </row>
    <row r="514" spans="11:21" x14ac:dyDescent="0.35">
      <c r="K514" s="2"/>
      <c r="L514" s="27"/>
      <c r="M514" s="2"/>
      <c r="S514" s="2"/>
      <c r="T514" s="27"/>
      <c r="U514" s="2"/>
    </row>
    <row r="515" spans="11:21" x14ac:dyDescent="0.35">
      <c r="K515" s="2"/>
      <c r="L515" s="27"/>
      <c r="M515" s="2"/>
      <c r="S515" s="2"/>
      <c r="T515" s="27"/>
      <c r="U515" s="2"/>
    </row>
    <row r="516" spans="11:21" x14ac:dyDescent="0.35">
      <c r="K516" s="2"/>
      <c r="L516" s="27"/>
      <c r="M516" s="2"/>
      <c r="S516" s="2"/>
      <c r="T516" s="27"/>
      <c r="U516" s="2"/>
    </row>
    <row r="517" spans="11:21" x14ac:dyDescent="0.35">
      <c r="K517" s="2"/>
      <c r="L517" s="27"/>
      <c r="M517" s="2"/>
      <c r="S517" s="2"/>
      <c r="T517" s="27"/>
      <c r="U517" s="2"/>
    </row>
    <row r="518" spans="11:21" x14ac:dyDescent="0.35">
      <c r="K518" s="2"/>
      <c r="L518" s="27"/>
      <c r="M518" s="2"/>
      <c r="S518" s="2"/>
      <c r="T518" s="27"/>
      <c r="U518" s="2"/>
    </row>
    <row r="519" spans="11:21" x14ac:dyDescent="0.35">
      <c r="K519" s="2"/>
      <c r="L519" s="27"/>
      <c r="M519" s="2"/>
      <c r="S519" s="2"/>
      <c r="T519" s="27"/>
      <c r="U519" s="2"/>
    </row>
    <row r="520" spans="11:21" x14ac:dyDescent="0.35">
      <c r="K520" s="2"/>
      <c r="L520" s="27"/>
      <c r="M520" s="2"/>
      <c r="S520" s="2"/>
      <c r="T520" s="27"/>
      <c r="U520" s="2"/>
    </row>
    <row r="521" spans="11:21" x14ac:dyDescent="0.35">
      <c r="K521" s="2"/>
      <c r="L521" s="27"/>
      <c r="M521" s="2"/>
      <c r="S521" s="2"/>
      <c r="T521" s="27"/>
      <c r="U521" s="2"/>
    </row>
    <row r="522" spans="11:21" x14ac:dyDescent="0.35">
      <c r="K522" s="2"/>
      <c r="L522" s="27"/>
      <c r="M522" s="2"/>
      <c r="S522" s="2"/>
      <c r="T522" s="27"/>
      <c r="U522" s="2"/>
    </row>
    <row r="523" spans="11:21" x14ac:dyDescent="0.35">
      <c r="K523" s="2"/>
      <c r="L523" s="27"/>
      <c r="M523" s="2"/>
      <c r="S523" s="2"/>
      <c r="T523" s="27"/>
      <c r="U523" s="2"/>
    </row>
    <row r="524" spans="11:21" x14ac:dyDescent="0.35">
      <c r="K524" s="2"/>
      <c r="L524" s="27"/>
      <c r="M524" s="2"/>
      <c r="S524" s="2"/>
      <c r="T524" s="27"/>
      <c r="U524" s="2"/>
    </row>
    <row r="525" spans="11:21" x14ac:dyDescent="0.35">
      <c r="K525" s="2"/>
      <c r="L525" s="27"/>
      <c r="M525" s="2"/>
      <c r="S525" s="2"/>
      <c r="T525" s="27"/>
      <c r="U525" s="2"/>
    </row>
    <row r="526" spans="11:21" x14ac:dyDescent="0.35">
      <c r="K526" s="2"/>
      <c r="L526" s="27"/>
      <c r="M526" s="2"/>
      <c r="S526" s="2"/>
      <c r="T526" s="27"/>
      <c r="U526" s="2"/>
    </row>
    <row r="527" spans="11:21" x14ac:dyDescent="0.35">
      <c r="K527" s="2"/>
      <c r="L527" s="27"/>
      <c r="M527" s="2"/>
      <c r="S527" s="2"/>
      <c r="T527" s="27"/>
      <c r="U527" s="2"/>
    </row>
    <row r="528" spans="11:21" x14ac:dyDescent="0.35">
      <c r="K528" s="2"/>
      <c r="L528" s="27"/>
      <c r="M528" s="2"/>
      <c r="S528" s="2"/>
      <c r="T528" s="27"/>
      <c r="U528" s="2"/>
    </row>
    <row r="529" spans="11:21" x14ac:dyDescent="0.35">
      <c r="K529" s="2"/>
      <c r="L529" s="27"/>
      <c r="M529" s="2"/>
      <c r="S529" s="2"/>
      <c r="T529" s="27"/>
      <c r="U529" s="2"/>
    </row>
    <row r="530" spans="11:21" x14ac:dyDescent="0.35">
      <c r="K530" s="2"/>
      <c r="L530" s="27"/>
      <c r="M530" s="2"/>
      <c r="S530" s="2"/>
      <c r="T530" s="27"/>
      <c r="U530" s="2"/>
    </row>
    <row r="531" spans="11:21" x14ac:dyDescent="0.35">
      <c r="K531" s="2"/>
      <c r="L531" s="27"/>
      <c r="M531" s="2"/>
      <c r="S531" s="2"/>
      <c r="T531" s="27"/>
      <c r="U531" s="2"/>
    </row>
    <row r="532" spans="11:21" x14ac:dyDescent="0.35">
      <c r="K532" s="2"/>
      <c r="L532" s="27"/>
      <c r="M532" s="2"/>
      <c r="S532" s="2"/>
      <c r="T532" s="27"/>
      <c r="U532" s="2"/>
    </row>
    <row r="533" spans="11:21" x14ac:dyDescent="0.35">
      <c r="K533" s="2"/>
      <c r="L533" s="27"/>
      <c r="M533" s="2"/>
      <c r="S533" s="2"/>
      <c r="T533" s="27"/>
      <c r="U533" s="2"/>
    </row>
    <row r="534" spans="11:21" x14ac:dyDescent="0.35">
      <c r="K534" s="2"/>
      <c r="L534" s="27"/>
      <c r="M534" s="2"/>
      <c r="S534" s="2"/>
      <c r="T534" s="27"/>
      <c r="U534" s="2"/>
    </row>
    <row r="535" spans="11:21" x14ac:dyDescent="0.35">
      <c r="K535" s="2"/>
      <c r="L535" s="27"/>
      <c r="M535" s="2"/>
      <c r="S535" s="2"/>
      <c r="T535" s="27"/>
      <c r="U535" s="2"/>
    </row>
    <row r="536" spans="11:21" x14ac:dyDescent="0.35">
      <c r="K536" s="2"/>
      <c r="L536" s="27"/>
      <c r="M536" s="2"/>
      <c r="S536" s="2"/>
      <c r="T536" s="27"/>
      <c r="U536" s="2"/>
    </row>
    <row r="537" spans="11:21" x14ac:dyDescent="0.35">
      <c r="K537" s="2"/>
      <c r="L537" s="27"/>
      <c r="M537" s="2"/>
      <c r="S537" s="2"/>
      <c r="T537" s="27"/>
      <c r="U537" s="2"/>
    </row>
    <row r="538" spans="11:21" x14ac:dyDescent="0.35">
      <c r="K538" s="2"/>
      <c r="L538" s="27"/>
      <c r="M538" s="2"/>
      <c r="S538" s="2"/>
      <c r="T538" s="27"/>
      <c r="U538" s="2"/>
    </row>
    <row r="539" spans="11:21" x14ac:dyDescent="0.35">
      <c r="K539" s="2"/>
      <c r="L539" s="27"/>
      <c r="M539" s="2"/>
      <c r="S539" s="2"/>
      <c r="T539" s="27"/>
      <c r="U539" s="2"/>
    </row>
    <row r="540" spans="11:21" x14ac:dyDescent="0.35">
      <c r="K540" s="2"/>
      <c r="L540" s="27"/>
      <c r="M540" s="2"/>
      <c r="S540" s="2"/>
      <c r="T540" s="27"/>
      <c r="U540" s="2"/>
    </row>
    <row r="541" spans="11:21" x14ac:dyDescent="0.35">
      <c r="K541" s="2"/>
      <c r="L541" s="27"/>
      <c r="M541" s="2"/>
      <c r="S541" s="2"/>
      <c r="T541" s="27"/>
      <c r="U541" s="2"/>
    </row>
    <row r="542" spans="11:21" x14ac:dyDescent="0.35">
      <c r="K542" s="2"/>
      <c r="L542" s="27"/>
      <c r="M542" s="2"/>
      <c r="S542" s="2"/>
      <c r="T542" s="27"/>
      <c r="U542" s="2"/>
    </row>
    <row r="543" spans="11:21" x14ac:dyDescent="0.35">
      <c r="K543" s="2"/>
      <c r="L543" s="27"/>
      <c r="M543" s="2"/>
      <c r="S543" s="2"/>
      <c r="T543" s="27"/>
      <c r="U543" s="2"/>
    </row>
    <row r="544" spans="11:21" x14ac:dyDescent="0.35">
      <c r="K544" s="2"/>
      <c r="L544" s="27"/>
      <c r="M544" s="2"/>
      <c r="S544" s="2"/>
      <c r="T544" s="27"/>
      <c r="U544" s="2"/>
    </row>
    <row r="545" spans="11:21" x14ac:dyDescent="0.35">
      <c r="K545" s="2"/>
      <c r="L545" s="27"/>
      <c r="M545" s="2"/>
      <c r="S545" s="2"/>
      <c r="T545" s="27"/>
      <c r="U545" s="2"/>
    </row>
    <row r="546" spans="11:21" x14ac:dyDescent="0.35">
      <c r="K546" s="2"/>
      <c r="L546" s="27"/>
      <c r="M546" s="2"/>
      <c r="S546" s="2"/>
      <c r="T546" s="27"/>
      <c r="U546" s="2"/>
    </row>
    <row r="547" spans="11:21" x14ac:dyDescent="0.35">
      <c r="K547" s="2"/>
      <c r="L547" s="27"/>
      <c r="M547" s="2"/>
      <c r="S547" s="2"/>
      <c r="T547" s="27"/>
      <c r="U547" s="2"/>
    </row>
    <row r="548" spans="11:21" x14ac:dyDescent="0.35">
      <c r="K548" s="2"/>
      <c r="L548" s="27"/>
      <c r="M548" s="2"/>
      <c r="S548" s="2"/>
      <c r="T548" s="27"/>
      <c r="U548" s="2"/>
    </row>
    <row r="549" spans="11:21" x14ac:dyDescent="0.35">
      <c r="K549" s="2"/>
      <c r="L549" s="27"/>
      <c r="M549" s="2"/>
      <c r="S549" s="2"/>
      <c r="T549" s="27"/>
      <c r="U549" s="2"/>
    </row>
    <row r="550" spans="11:21" x14ac:dyDescent="0.35">
      <c r="K550" s="2"/>
      <c r="L550" s="27"/>
      <c r="M550" s="2"/>
      <c r="S550" s="2"/>
      <c r="T550" s="27"/>
      <c r="U550" s="2"/>
    </row>
    <row r="551" spans="11:21" x14ac:dyDescent="0.35">
      <c r="K551" s="2"/>
      <c r="L551" s="27"/>
      <c r="M551" s="2"/>
      <c r="S551" s="2"/>
      <c r="T551" s="27"/>
      <c r="U551" s="2"/>
    </row>
    <row r="552" spans="11:21" x14ac:dyDescent="0.35">
      <c r="K552" s="2"/>
      <c r="L552" s="27"/>
      <c r="M552" s="2"/>
      <c r="S552" s="2"/>
      <c r="T552" s="27"/>
      <c r="U552" s="2"/>
    </row>
    <row r="553" spans="11:21" x14ac:dyDescent="0.35">
      <c r="K553" s="2"/>
      <c r="L553" s="27"/>
      <c r="M553" s="2"/>
      <c r="S553" s="2"/>
      <c r="T553" s="27"/>
      <c r="U553" s="2"/>
    </row>
    <row r="554" spans="11:21" x14ac:dyDescent="0.35">
      <c r="K554" s="2"/>
      <c r="L554" s="27"/>
      <c r="M554" s="2"/>
      <c r="S554" s="2"/>
      <c r="T554" s="27"/>
      <c r="U554" s="2"/>
    </row>
    <row r="555" spans="11:21" x14ac:dyDescent="0.35">
      <c r="K555" s="2"/>
      <c r="L555" s="27"/>
      <c r="M555" s="2"/>
      <c r="S555" s="2"/>
      <c r="T555" s="27"/>
      <c r="U555" s="2"/>
    </row>
    <row r="556" spans="11:21" x14ac:dyDescent="0.35">
      <c r="K556" s="2"/>
      <c r="L556" s="27"/>
      <c r="M556" s="2"/>
      <c r="S556" s="2"/>
      <c r="T556" s="27"/>
      <c r="U556" s="2"/>
    </row>
    <row r="557" spans="11:21" x14ac:dyDescent="0.35">
      <c r="K557" s="2"/>
      <c r="L557" s="27"/>
      <c r="M557" s="2"/>
      <c r="S557" s="2"/>
      <c r="T557" s="27"/>
      <c r="U557" s="2"/>
    </row>
    <row r="558" spans="11:21" x14ac:dyDescent="0.35">
      <c r="K558" s="2"/>
      <c r="L558" s="27"/>
      <c r="M558" s="2"/>
      <c r="S558" s="2"/>
      <c r="T558" s="27"/>
      <c r="U558" s="2"/>
    </row>
    <row r="559" spans="11:21" x14ac:dyDescent="0.35">
      <c r="K559" s="2"/>
      <c r="L559" s="27"/>
      <c r="M559" s="2"/>
      <c r="S559" s="2"/>
      <c r="T559" s="27"/>
      <c r="U559" s="2"/>
    </row>
    <row r="560" spans="11:21" x14ac:dyDescent="0.35">
      <c r="K560" s="2"/>
      <c r="L560" s="27"/>
      <c r="M560" s="2"/>
      <c r="S560" s="2"/>
      <c r="T560" s="27"/>
      <c r="U560" s="2"/>
    </row>
    <row r="561" spans="11:21" x14ac:dyDescent="0.35">
      <c r="K561" s="2"/>
      <c r="L561" s="27"/>
      <c r="M561" s="2"/>
      <c r="S561" s="2"/>
      <c r="T561" s="27"/>
      <c r="U561" s="2"/>
    </row>
    <row r="562" spans="11:21" x14ac:dyDescent="0.35">
      <c r="K562" s="2"/>
      <c r="L562" s="27"/>
      <c r="M562" s="2"/>
      <c r="S562" s="2"/>
      <c r="T562" s="27"/>
      <c r="U562" s="2"/>
    </row>
    <row r="563" spans="11:21" x14ac:dyDescent="0.35">
      <c r="K563" s="2"/>
      <c r="L563" s="27"/>
      <c r="M563" s="2"/>
      <c r="S563" s="2"/>
      <c r="T563" s="27"/>
      <c r="U563" s="2"/>
    </row>
    <row r="564" spans="11:21" x14ac:dyDescent="0.35">
      <c r="K564" s="2"/>
      <c r="L564" s="27"/>
      <c r="M564" s="2"/>
      <c r="S564" s="2"/>
      <c r="T564" s="27"/>
      <c r="U564" s="2"/>
    </row>
    <row r="565" spans="11:21" x14ac:dyDescent="0.35">
      <c r="K565" s="2"/>
      <c r="L565" s="27"/>
      <c r="M565" s="2"/>
      <c r="S565" s="2"/>
      <c r="T565" s="27"/>
      <c r="U565" s="2"/>
    </row>
    <row r="566" spans="11:21" x14ac:dyDescent="0.35">
      <c r="K566" s="2"/>
      <c r="L566" s="27"/>
      <c r="M566" s="2"/>
      <c r="S566" s="2"/>
      <c r="T566" s="27"/>
      <c r="U566" s="2"/>
    </row>
    <row r="567" spans="11:21" x14ac:dyDescent="0.35">
      <c r="K567" s="2"/>
      <c r="L567" s="27"/>
      <c r="M567" s="2"/>
      <c r="S567" s="2"/>
      <c r="T567" s="27"/>
      <c r="U567" s="2"/>
    </row>
    <row r="568" spans="11:21" x14ac:dyDescent="0.35">
      <c r="K568" s="2"/>
      <c r="L568" s="27"/>
      <c r="M568" s="2"/>
      <c r="S568" s="2"/>
      <c r="T568" s="27"/>
      <c r="U568" s="2"/>
    </row>
    <row r="569" spans="11:21" x14ac:dyDescent="0.35">
      <c r="K569" s="2"/>
      <c r="L569" s="27"/>
      <c r="M569" s="2"/>
      <c r="S569" s="2"/>
      <c r="T569" s="27"/>
      <c r="U569" s="2"/>
    </row>
    <row r="570" spans="11:21" x14ac:dyDescent="0.35">
      <c r="K570" s="2"/>
      <c r="L570" s="27"/>
      <c r="M570" s="2"/>
      <c r="S570" s="2"/>
      <c r="T570" s="27"/>
      <c r="U570" s="2"/>
    </row>
    <row r="571" spans="11:21" x14ac:dyDescent="0.35">
      <c r="K571" s="2"/>
      <c r="L571" s="27"/>
      <c r="M571" s="2"/>
      <c r="S571" s="2"/>
      <c r="T571" s="27"/>
      <c r="U571" s="2"/>
    </row>
    <row r="572" spans="11:21" x14ac:dyDescent="0.35">
      <c r="K572" s="2"/>
      <c r="L572" s="27"/>
      <c r="M572" s="2"/>
      <c r="S572" s="2"/>
      <c r="T572" s="27"/>
      <c r="U572" s="2"/>
    </row>
    <row r="573" spans="11:21" x14ac:dyDescent="0.35">
      <c r="K573" s="2"/>
      <c r="L573" s="27"/>
      <c r="M573" s="2"/>
      <c r="S573" s="2"/>
      <c r="T573" s="27"/>
      <c r="U573" s="2"/>
    </row>
    <row r="574" spans="11:21" x14ac:dyDescent="0.35">
      <c r="K574" s="2"/>
      <c r="L574" s="27"/>
      <c r="M574" s="2"/>
      <c r="S574" s="2"/>
      <c r="T574" s="27"/>
      <c r="U574" s="2"/>
    </row>
    <row r="575" spans="11:21" x14ac:dyDescent="0.35">
      <c r="K575" s="2"/>
      <c r="L575" s="27"/>
      <c r="M575" s="2"/>
      <c r="S575" s="2"/>
      <c r="T575" s="27"/>
      <c r="U575" s="2"/>
    </row>
    <row r="576" spans="11:21" x14ac:dyDescent="0.35">
      <c r="K576" s="2"/>
      <c r="L576" s="27"/>
      <c r="M576" s="2"/>
      <c r="S576" s="2"/>
      <c r="T576" s="27"/>
      <c r="U576" s="2"/>
    </row>
    <row r="577" spans="11:21" x14ac:dyDescent="0.35">
      <c r="K577" s="2"/>
      <c r="L577" s="27"/>
      <c r="M577" s="2"/>
      <c r="S577" s="2"/>
      <c r="T577" s="27"/>
      <c r="U577" s="2"/>
    </row>
    <row r="578" spans="11:21" x14ac:dyDescent="0.35">
      <c r="K578" s="2"/>
      <c r="L578" s="27"/>
      <c r="M578" s="2"/>
      <c r="S578" s="2"/>
      <c r="T578" s="27"/>
      <c r="U578" s="2"/>
    </row>
    <row r="579" spans="11:21" x14ac:dyDescent="0.35">
      <c r="K579" s="2"/>
      <c r="L579" s="27"/>
      <c r="M579" s="2"/>
      <c r="S579" s="2"/>
      <c r="T579" s="27"/>
      <c r="U579" s="2"/>
    </row>
    <row r="580" spans="11:21" x14ac:dyDescent="0.35">
      <c r="K580" s="2"/>
      <c r="L580" s="27"/>
      <c r="M580" s="2"/>
      <c r="S580" s="2"/>
      <c r="T580" s="27"/>
      <c r="U580" s="2"/>
    </row>
    <row r="581" spans="11:21" x14ac:dyDescent="0.35">
      <c r="K581" s="2"/>
      <c r="L581" s="27"/>
      <c r="M581" s="2"/>
      <c r="S581" s="2"/>
      <c r="T581" s="27"/>
      <c r="U581" s="2"/>
    </row>
    <row r="582" spans="11:21" x14ac:dyDescent="0.35">
      <c r="K582" s="2"/>
      <c r="L582" s="27"/>
      <c r="M582" s="2"/>
      <c r="S582" s="2"/>
      <c r="T582" s="27"/>
      <c r="U582" s="2"/>
    </row>
    <row r="583" spans="11:21" x14ac:dyDescent="0.35">
      <c r="K583" s="2"/>
      <c r="L583" s="27"/>
      <c r="M583" s="2"/>
      <c r="S583" s="2"/>
      <c r="T583" s="27"/>
      <c r="U583" s="2"/>
    </row>
    <row r="584" spans="11:21" x14ac:dyDescent="0.35">
      <c r="K584" s="2"/>
      <c r="L584" s="27"/>
      <c r="M584" s="2"/>
      <c r="S584" s="2"/>
      <c r="T584" s="27"/>
      <c r="U584" s="2"/>
    </row>
    <row r="585" spans="11:21" x14ac:dyDescent="0.35">
      <c r="K585" s="2"/>
      <c r="L585" s="27"/>
      <c r="M585" s="2"/>
      <c r="S585" s="2"/>
      <c r="T585" s="27"/>
      <c r="U585" s="2"/>
    </row>
    <row r="586" spans="11:21" x14ac:dyDescent="0.35">
      <c r="K586" s="2"/>
      <c r="L586" s="27"/>
      <c r="M586" s="2"/>
      <c r="S586" s="2"/>
      <c r="T586" s="27"/>
      <c r="U586" s="2"/>
    </row>
    <row r="587" spans="11:21" x14ac:dyDescent="0.35">
      <c r="K587" s="2"/>
      <c r="L587" s="27"/>
      <c r="M587" s="2"/>
      <c r="S587" s="2"/>
      <c r="T587" s="27"/>
      <c r="U587" s="2"/>
    </row>
    <row r="588" spans="11:21" x14ac:dyDescent="0.35">
      <c r="K588" s="2"/>
      <c r="L588" s="27"/>
      <c r="M588" s="2"/>
      <c r="S588" s="2"/>
      <c r="T588" s="27"/>
      <c r="U588" s="2"/>
    </row>
    <row r="589" spans="11:21" x14ac:dyDescent="0.35">
      <c r="K589" s="2"/>
      <c r="L589" s="27"/>
      <c r="M589" s="2"/>
      <c r="S589" s="2"/>
      <c r="T589" s="27"/>
      <c r="U589" s="2"/>
    </row>
    <row r="590" spans="11:21" x14ac:dyDescent="0.35">
      <c r="K590" s="2"/>
      <c r="L590" s="27"/>
      <c r="M590" s="2"/>
      <c r="S590" s="2"/>
      <c r="T590" s="27"/>
      <c r="U590" s="2"/>
    </row>
    <row r="591" spans="11:21" x14ac:dyDescent="0.35">
      <c r="K591" s="2"/>
      <c r="L591" s="27"/>
      <c r="M591" s="2"/>
      <c r="S591" s="2"/>
      <c r="T591" s="27"/>
      <c r="U591" s="2"/>
    </row>
    <row r="592" spans="11:21" x14ac:dyDescent="0.35">
      <c r="K592" s="2"/>
      <c r="L592" s="27"/>
      <c r="M592" s="2"/>
      <c r="S592" s="2"/>
      <c r="T592" s="27"/>
      <c r="U592" s="2"/>
    </row>
    <row r="593" spans="11:21" x14ac:dyDescent="0.35">
      <c r="K593" s="2"/>
      <c r="L593" s="27"/>
      <c r="M593" s="2"/>
      <c r="S593" s="2"/>
      <c r="T593" s="27"/>
      <c r="U593" s="2"/>
    </row>
    <row r="594" spans="11:21" x14ac:dyDescent="0.35">
      <c r="K594" s="2"/>
      <c r="L594" s="27"/>
      <c r="M594" s="2"/>
      <c r="S594" s="2"/>
      <c r="T594" s="27"/>
      <c r="U594" s="2"/>
    </row>
    <row r="595" spans="11:21" x14ac:dyDescent="0.35">
      <c r="K595" s="2"/>
      <c r="L595" s="27"/>
      <c r="M595" s="2"/>
      <c r="S595" s="2"/>
      <c r="T595" s="27"/>
      <c r="U595" s="2"/>
    </row>
    <row r="596" spans="11:21" x14ac:dyDescent="0.35">
      <c r="K596" s="2"/>
      <c r="L596" s="27"/>
      <c r="M596" s="2"/>
      <c r="S596" s="2"/>
      <c r="T596" s="27"/>
      <c r="U596" s="2"/>
    </row>
    <row r="597" spans="11:21" x14ac:dyDescent="0.35">
      <c r="K597" s="2"/>
      <c r="L597" s="27"/>
      <c r="M597" s="2"/>
      <c r="S597" s="2"/>
      <c r="T597" s="27"/>
      <c r="U597" s="2"/>
    </row>
    <row r="598" spans="11:21" x14ac:dyDescent="0.35">
      <c r="K598" s="2"/>
      <c r="L598" s="27"/>
      <c r="M598" s="2"/>
      <c r="S598" s="2"/>
      <c r="T598" s="27"/>
      <c r="U598" s="2"/>
    </row>
    <row r="599" spans="11:21" x14ac:dyDescent="0.35">
      <c r="K599" s="2"/>
      <c r="L599" s="27"/>
      <c r="M599" s="2"/>
      <c r="S599" s="2"/>
      <c r="T599" s="27"/>
      <c r="U599" s="2"/>
    </row>
    <row r="600" spans="11:21" x14ac:dyDescent="0.35">
      <c r="K600" s="2"/>
      <c r="L600" s="27"/>
      <c r="M600" s="2"/>
      <c r="S600" s="2"/>
      <c r="T600" s="27"/>
      <c r="U600" s="2"/>
    </row>
    <row r="601" spans="11:21" x14ac:dyDescent="0.35">
      <c r="K601" s="2"/>
      <c r="L601" s="27"/>
      <c r="M601" s="2"/>
      <c r="S601" s="2"/>
      <c r="T601" s="27"/>
      <c r="U601" s="2"/>
    </row>
  </sheetData>
  <pageMargins left="0.511811024" right="0.511811024" top="0.78740157499999996" bottom="0.78740157499999996" header="0.31496062000000002" footer="0.31496062000000002"/>
  <ignoredErrors>
    <ignoredError sqref="AI123 AI133:AI13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90F0-9117-4AAA-860C-789D5DE6819D}">
  <dimension ref="A1:M151"/>
  <sheetViews>
    <sheetView tabSelected="1" topLeftCell="A130" workbookViewId="0">
      <selection activeCell="F142" sqref="F142"/>
    </sheetView>
  </sheetViews>
  <sheetFormatPr defaultRowHeight="14.5" x14ac:dyDescent="0.35"/>
  <cols>
    <col min="5" max="5" width="10" bestFit="1" customWidth="1"/>
  </cols>
  <sheetData>
    <row r="1" spans="1:13" x14ac:dyDescent="0.35">
      <c r="A1" t="s">
        <v>42</v>
      </c>
      <c r="B1" t="s">
        <v>37</v>
      </c>
      <c r="C1" t="s">
        <v>38</v>
      </c>
      <c r="D1" t="s">
        <v>43</v>
      </c>
      <c r="E1" t="s">
        <v>44</v>
      </c>
      <c r="F1" t="s">
        <v>45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23</v>
      </c>
    </row>
    <row r="2" spans="1:13" x14ac:dyDescent="0.35">
      <c r="A2">
        <v>1</v>
      </c>
      <c r="B2">
        <v>9</v>
      </c>
      <c r="C2">
        <v>1</v>
      </c>
      <c r="D2" s="39">
        <v>1.17127</v>
      </c>
      <c r="E2" s="39">
        <v>81.988900000000001</v>
      </c>
      <c r="F2" s="39">
        <v>22.777809999999999</v>
      </c>
      <c r="G2" s="39">
        <v>23.3</v>
      </c>
      <c r="H2" s="39">
        <v>10</v>
      </c>
      <c r="I2" s="39">
        <v>5.0650000000000004</v>
      </c>
      <c r="J2" s="39">
        <v>2.9550000000000001</v>
      </c>
      <c r="K2" s="39">
        <v>5.65</v>
      </c>
      <c r="L2" s="39">
        <v>1.18</v>
      </c>
      <c r="M2" s="39">
        <v>14.4</v>
      </c>
    </row>
    <row r="3" spans="1:13" x14ac:dyDescent="0.35">
      <c r="A3">
        <v>2</v>
      </c>
      <c r="B3">
        <v>8</v>
      </c>
      <c r="C3">
        <v>1</v>
      </c>
      <c r="D3" s="39">
        <v>1.0666600000000002</v>
      </c>
      <c r="E3" s="39">
        <v>119.46592000000001</v>
      </c>
      <c r="F3" s="39">
        <v>6.331999999999999</v>
      </c>
      <c r="G3" s="39">
        <v>20.52</v>
      </c>
      <c r="H3" s="39">
        <v>7.7679999999999998</v>
      </c>
      <c r="I3" s="39">
        <v>4.5860000000000003</v>
      </c>
      <c r="J3" s="39">
        <v>2.3319999999999999</v>
      </c>
      <c r="K3" s="39">
        <v>5.44</v>
      </c>
      <c r="L3" s="39">
        <v>1.03</v>
      </c>
      <c r="M3" s="39">
        <v>13.26</v>
      </c>
    </row>
    <row r="4" spans="1:13" x14ac:dyDescent="0.35">
      <c r="A4">
        <v>3</v>
      </c>
      <c r="B4">
        <v>5</v>
      </c>
      <c r="C4">
        <v>1</v>
      </c>
      <c r="D4" s="39">
        <v>0.98358000000000001</v>
      </c>
      <c r="E4" s="39">
        <v>76.719239999999999</v>
      </c>
      <c r="F4" s="39">
        <v>15.427939999999998</v>
      </c>
      <c r="G4" s="39">
        <v>21.48</v>
      </c>
      <c r="H4" s="39">
        <v>8.2289999999999992</v>
      </c>
      <c r="I4" s="39">
        <v>4.782</v>
      </c>
      <c r="J4" s="39">
        <v>2.637</v>
      </c>
      <c r="K4" s="39">
        <v>3.54</v>
      </c>
      <c r="L4" s="39">
        <v>0.9</v>
      </c>
      <c r="M4" s="39">
        <v>14.7</v>
      </c>
    </row>
    <row r="5" spans="1:13" x14ac:dyDescent="0.35">
      <c r="A5">
        <v>4</v>
      </c>
      <c r="B5">
        <v>8</v>
      </c>
      <c r="C5">
        <v>1</v>
      </c>
      <c r="D5" s="39">
        <v>1.08053</v>
      </c>
      <c r="E5" s="39">
        <v>88.603459999999998</v>
      </c>
      <c r="F5" s="39">
        <v>8.9450000000000003</v>
      </c>
      <c r="G5" s="39">
        <v>21.32</v>
      </c>
      <c r="H5" s="39">
        <v>8.3940000000000001</v>
      </c>
      <c r="I5" s="39">
        <v>4.3239999999999998</v>
      </c>
      <c r="J5" s="39">
        <v>2.335</v>
      </c>
      <c r="K5" s="39">
        <v>3.61</v>
      </c>
      <c r="L5" s="39">
        <v>1.04</v>
      </c>
      <c r="M5" s="39">
        <v>14</v>
      </c>
    </row>
    <row r="6" spans="1:13" x14ac:dyDescent="0.35">
      <c r="A6">
        <v>5</v>
      </c>
      <c r="B6">
        <v>2</v>
      </c>
      <c r="C6">
        <v>1</v>
      </c>
      <c r="D6" s="39">
        <v>0.95089000000000001</v>
      </c>
      <c r="E6" s="39">
        <v>53.249839999999999</v>
      </c>
      <c r="F6" s="39">
        <v>5.3209999999999997</v>
      </c>
      <c r="G6" s="39">
        <v>18.399999999999999</v>
      </c>
      <c r="H6" s="39">
        <v>10.119999999999999</v>
      </c>
      <c r="I6" s="39">
        <v>4.9880000000000004</v>
      </c>
      <c r="J6" s="39">
        <v>2.5880000000000001</v>
      </c>
      <c r="K6" s="39">
        <v>6.16</v>
      </c>
      <c r="L6" s="39">
        <v>1.18</v>
      </c>
      <c r="M6" s="39">
        <v>14.3</v>
      </c>
    </row>
    <row r="7" spans="1:13" x14ac:dyDescent="0.35">
      <c r="A7">
        <v>6</v>
      </c>
      <c r="B7">
        <v>7</v>
      </c>
      <c r="C7">
        <v>1</v>
      </c>
      <c r="D7" s="39">
        <v>0.74451999999999996</v>
      </c>
      <c r="E7" s="39">
        <v>54.349959999999996</v>
      </c>
      <c r="F7" s="39">
        <v>2.698</v>
      </c>
      <c r="G7" s="39">
        <v>18.36</v>
      </c>
      <c r="H7" s="39">
        <v>9.0739999999999998</v>
      </c>
      <c r="I7" s="39">
        <v>4.4610000000000003</v>
      </c>
      <c r="J7" s="39">
        <v>2.3010000000000002</v>
      </c>
      <c r="K7" s="39">
        <v>5.7</v>
      </c>
      <c r="L7" s="39">
        <v>1.29</v>
      </c>
      <c r="M7" s="39">
        <v>15.8</v>
      </c>
    </row>
    <row r="8" spans="1:13" x14ac:dyDescent="0.35">
      <c r="A8">
        <v>7</v>
      </c>
      <c r="B8">
        <v>7</v>
      </c>
      <c r="C8">
        <v>1</v>
      </c>
      <c r="D8" s="39">
        <v>1.1247</v>
      </c>
      <c r="E8" s="39">
        <v>57.359700000000004</v>
      </c>
      <c r="F8" s="39">
        <v>6.3920000000000003</v>
      </c>
      <c r="G8" s="39">
        <v>26.75</v>
      </c>
      <c r="H8" s="39">
        <v>9.7959999999999994</v>
      </c>
      <c r="I8" s="39">
        <v>4.8440000000000003</v>
      </c>
      <c r="J8" s="39">
        <v>2.464</v>
      </c>
      <c r="K8" s="39">
        <v>5.58</v>
      </c>
      <c r="L8" s="39">
        <v>1.1299999999999999</v>
      </c>
      <c r="M8" s="39">
        <v>13.65</v>
      </c>
    </row>
    <row r="9" spans="1:13" x14ac:dyDescent="0.35">
      <c r="A9">
        <v>8</v>
      </c>
      <c r="B9">
        <v>8</v>
      </c>
      <c r="C9">
        <v>1</v>
      </c>
      <c r="D9" s="39">
        <v>1.3605</v>
      </c>
      <c r="E9" s="39">
        <v>57.141000000000005</v>
      </c>
      <c r="F9" s="39">
        <v>2.5149999999999997</v>
      </c>
      <c r="G9" s="39">
        <v>27.5</v>
      </c>
      <c r="H9" s="39">
        <v>10.728999999999999</v>
      </c>
      <c r="I9" s="39">
        <v>5.1100000000000003</v>
      </c>
      <c r="J9" s="39">
        <v>2.8580000000000001</v>
      </c>
      <c r="K9" s="39">
        <v>2.63</v>
      </c>
      <c r="L9" s="39">
        <v>0.93</v>
      </c>
      <c r="M9" s="39">
        <v>9.9</v>
      </c>
    </row>
    <row r="10" spans="1:13" x14ac:dyDescent="0.35">
      <c r="A10">
        <v>9</v>
      </c>
      <c r="B10">
        <v>2</v>
      </c>
      <c r="C10">
        <v>1</v>
      </c>
      <c r="D10" s="39">
        <v>1.113</v>
      </c>
      <c r="E10" s="39">
        <v>26.712</v>
      </c>
      <c r="F10" s="39">
        <v>0.71099999999999997</v>
      </c>
      <c r="G10" s="39">
        <v>20.34</v>
      </c>
      <c r="H10" s="39">
        <v>10.378</v>
      </c>
      <c r="I10" s="39">
        <v>5.56</v>
      </c>
      <c r="J10" s="39">
        <v>2.738</v>
      </c>
      <c r="K10" s="39">
        <v>4.1900000000000004</v>
      </c>
      <c r="L10" s="39">
        <v>1.1399999999999999</v>
      </c>
      <c r="M10" s="39">
        <v>14.2</v>
      </c>
    </row>
    <row r="11" spans="1:13" x14ac:dyDescent="0.35">
      <c r="A11">
        <v>10</v>
      </c>
      <c r="B11">
        <v>5</v>
      </c>
      <c r="C11">
        <v>1</v>
      </c>
      <c r="D11" s="39">
        <v>0.89885000000000004</v>
      </c>
      <c r="E11" s="39">
        <v>86.289600000000007</v>
      </c>
      <c r="F11" s="39">
        <v>9.4499999999999993</v>
      </c>
      <c r="G11" s="39">
        <v>21.42</v>
      </c>
      <c r="H11" s="39">
        <v>8.8330000000000002</v>
      </c>
      <c r="I11" s="39">
        <v>4.423</v>
      </c>
      <c r="J11" s="39">
        <v>2.282</v>
      </c>
      <c r="K11" s="39">
        <v>3.47</v>
      </c>
      <c r="L11" s="39">
        <v>0.79</v>
      </c>
      <c r="M11" s="39">
        <v>13.92</v>
      </c>
    </row>
    <row r="12" spans="1:13" x14ac:dyDescent="0.35">
      <c r="A12">
        <v>11</v>
      </c>
      <c r="B12">
        <v>1</v>
      </c>
      <c r="C12">
        <v>1</v>
      </c>
      <c r="D12" s="39">
        <v>1.0144</v>
      </c>
      <c r="E12" s="39">
        <v>30.431999999999999</v>
      </c>
      <c r="F12" s="39">
        <v>5.8260000000000005</v>
      </c>
      <c r="G12" s="39">
        <v>19.14</v>
      </c>
      <c r="H12" s="39">
        <v>8.391</v>
      </c>
      <c r="I12" s="39">
        <v>4.0490000000000004</v>
      </c>
      <c r="J12" s="39">
        <v>2.3130000000000002</v>
      </c>
      <c r="K12" s="39">
        <v>3.68</v>
      </c>
      <c r="L12" s="39">
        <v>0.95</v>
      </c>
      <c r="M12" s="39">
        <v>14.4</v>
      </c>
    </row>
    <row r="13" spans="1:13" x14ac:dyDescent="0.35">
      <c r="A13">
        <v>12</v>
      </c>
      <c r="B13">
        <v>9</v>
      </c>
      <c r="C13">
        <v>1</v>
      </c>
      <c r="D13" s="39">
        <v>0.69542999999999999</v>
      </c>
      <c r="E13" s="39">
        <v>70.238429999999994</v>
      </c>
      <c r="F13" s="39">
        <v>6.5579800000000006</v>
      </c>
      <c r="G13" s="39">
        <v>18.8</v>
      </c>
      <c r="H13" s="39">
        <v>8.7789999999999999</v>
      </c>
      <c r="I13" s="39">
        <v>3.9929999999999999</v>
      </c>
      <c r="J13" s="39">
        <v>2.4079999999999999</v>
      </c>
      <c r="K13" s="39">
        <v>5.1100000000000003</v>
      </c>
      <c r="L13" s="39">
        <v>1.1399999999999999</v>
      </c>
      <c r="M13" s="39">
        <v>13.3</v>
      </c>
    </row>
    <row r="14" spans="1:13" x14ac:dyDescent="0.35">
      <c r="A14">
        <v>13</v>
      </c>
      <c r="B14">
        <v>8</v>
      </c>
      <c r="C14">
        <v>1</v>
      </c>
      <c r="D14" s="39">
        <v>1.0093799999999999</v>
      </c>
      <c r="E14" s="39">
        <v>62.581559999999996</v>
      </c>
      <c r="F14" s="39">
        <v>7.5529399999999987</v>
      </c>
      <c r="G14" s="39">
        <v>22.48</v>
      </c>
      <c r="H14" s="39">
        <v>9.8249999999999993</v>
      </c>
      <c r="I14" s="39">
        <v>5.0279999999999996</v>
      </c>
      <c r="J14" s="39">
        <v>2.633</v>
      </c>
      <c r="K14" s="39">
        <v>4.3899999999999997</v>
      </c>
      <c r="L14" s="39">
        <v>0.96</v>
      </c>
      <c r="M14" s="39">
        <v>13.5</v>
      </c>
    </row>
    <row r="15" spans="1:13" x14ac:dyDescent="0.35">
      <c r="A15">
        <v>14</v>
      </c>
      <c r="B15">
        <v>8</v>
      </c>
      <c r="C15">
        <v>1</v>
      </c>
      <c r="D15" s="39">
        <v>0.91060000000000008</v>
      </c>
      <c r="E15" s="39">
        <v>57.367800000000003</v>
      </c>
      <c r="F15" s="39">
        <v>18.98197</v>
      </c>
      <c r="G15" s="39">
        <v>19.36</v>
      </c>
      <c r="H15" s="39">
        <v>11.281000000000001</v>
      </c>
      <c r="I15" s="39">
        <v>6.0419999999999998</v>
      </c>
      <c r="J15" s="39">
        <v>4.0119999999999996</v>
      </c>
      <c r="K15" s="39">
        <v>6.08</v>
      </c>
      <c r="L15" s="39">
        <v>1.1599999999999999</v>
      </c>
      <c r="M15" s="39">
        <v>13.8</v>
      </c>
    </row>
    <row r="16" spans="1:13" x14ac:dyDescent="0.35">
      <c r="A16">
        <v>15</v>
      </c>
      <c r="B16">
        <v>9</v>
      </c>
      <c r="C16">
        <v>1</v>
      </c>
      <c r="D16" s="39">
        <v>0.64361999999999997</v>
      </c>
      <c r="E16" s="39">
        <v>57.282179999999997</v>
      </c>
      <c r="F16" s="39">
        <v>4.8699500000000002</v>
      </c>
      <c r="G16" s="39">
        <v>18.68</v>
      </c>
      <c r="H16" s="39">
        <v>9.0220000000000002</v>
      </c>
      <c r="I16" s="39">
        <v>4.5270000000000001</v>
      </c>
      <c r="J16" s="39">
        <v>2.93</v>
      </c>
      <c r="K16" s="39">
        <v>3.26</v>
      </c>
      <c r="L16" s="39">
        <v>0.57999999999999996</v>
      </c>
      <c r="M16" s="39">
        <v>13.4</v>
      </c>
    </row>
    <row r="17" spans="1:13" x14ac:dyDescent="0.35">
      <c r="A17">
        <v>19</v>
      </c>
      <c r="B17">
        <v>1</v>
      </c>
      <c r="C17">
        <v>5</v>
      </c>
      <c r="D17" s="39">
        <v>1.0822000000000001</v>
      </c>
      <c r="E17" s="39">
        <v>37.877000000000002</v>
      </c>
      <c r="F17" s="39">
        <v>3.5659999999999998</v>
      </c>
      <c r="G17" s="39">
        <v>25.1</v>
      </c>
      <c r="H17" s="39">
        <v>9.17</v>
      </c>
      <c r="I17" s="39">
        <v>3.8939999999999997</v>
      </c>
      <c r="J17" s="39">
        <v>2.5179999999999998</v>
      </c>
      <c r="K17" s="39">
        <v>6.01</v>
      </c>
      <c r="L17" s="39">
        <v>1.36</v>
      </c>
      <c r="M17" s="39">
        <v>15.2</v>
      </c>
    </row>
    <row r="18" spans="1:13" x14ac:dyDescent="0.35">
      <c r="A18">
        <v>20</v>
      </c>
      <c r="B18">
        <v>5</v>
      </c>
      <c r="C18">
        <v>5</v>
      </c>
      <c r="D18" s="39">
        <v>1.1588800000000001</v>
      </c>
      <c r="E18" s="39">
        <v>79.962720000000004</v>
      </c>
      <c r="F18" s="39">
        <v>2.99478</v>
      </c>
      <c r="G18" s="39">
        <v>22.26</v>
      </c>
      <c r="H18" s="39">
        <v>8.7840000000000007</v>
      </c>
      <c r="I18" s="39">
        <v>6</v>
      </c>
      <c r="J18" s="39">
        <v>2.7280000000000002</v>
      </c>
      <c r="K18" s="39">
        <v>4.54</v>
      </c>
      <c r="L18" s="39">
        <v>0.86</v>
      </c>
      <c r="M18" s="39">
        <v>19.100000000000001</v>
      </c>
    </row>
    <row r="19" spans="1:13" x14ac:dyDescent="0.35">
      <c r="A19">
        <v>21</v>
      </c>
      <c r="B19">
        <v>9</v>
      </c>
      <c r="C19">
        <v>5</v>
      </c>
      <c r="D19" s="39">
        <v>1.28223</v>
      </c>
      <c r="E19" s="39">
        <v>91.038330000000002</v>
      </c>
      <c r="F19" s="39">
        <v>3.169</v>
      </c>
      <c r="G19" s="39">
        <v>23.5</v>
      </c>
      <c r="H19" s="39">
        <v>11.295</v>
      </c>
      <c r="I19" s="39">
        <v>5.1059999999999999</v>
      </c>
      <c r="J19" s="39">
        <v>3.157</v>
      </c>
      <c r="K19" s="39">
        <v>3.52</v>
      </c>
      <c r="L19" s="39">
        <v>0.78</v>
      </c>
      <c r="M19" s="39">
        <v>13.8</v>
      </c>
    </row>
    <row r="20" spans="1:13" x14ac:dyDescent="0.35">
      <c r="A20">
        <v>22</v>
      </c>
      <c r="B20">
        <v>9</v>
      </c>
      <c r="C20">
        <v>5</v>
      </c>
      <c r="D20" s="39">
        <v>1.27105</v>
      </c>
      <c r="E20" s="39">
        <v>88.973500000000001</v>
      </c>
      <c r="F20" s="39">
        <v>7.3109999999999999</v>
      </c>
      <c r="G20" s="39">
        <v>24.9</v>
      </c>
      <c r="H20" s="39">
        <v>10.565999999999999</v>
      </c>
      <c r="I20" s="39">
        <v>4.9990000000000006</v>
      </c>
      <c r="J20" s="39">
        <v>3.0449999999999999</v>
      </c>
      <c r="K20" s="39">
        <v>4.71</v>
      </c>
      <c r="L20" s="39">
        <v>0.97</v>
      </c>
      <c r="M20" s="39">
        <v>13.3</v>
      </c>
    </row>
    <row r="21" spans="1:13" x14ac:dyDescent="0.35">
      <c r="A21">
        <v>23</v>
      </c>
      <c r="B21">
        <v>1</v>
      </c>
      <c r="C21">
        <v>5</v>
      </c>
      <c r="D21" s="39">
        <v>1.1281400000000001</v>
      </c>
      <c r="E21" s="39">
        <v>83.482360000000014</v>
      </c>
      <c r="F21" s="39">
        <v>2.8319000000000001</v>
      </c>
      <c r="G21" s="39">
        <v>22.84</v>
      </c>
      <c r="H21" s="39">
        <v>9.7050000000000001</v>
      </c>
      <c r="I21" s="39">
        <v>4.3540000000000001</v>
      </c>
      <c r="J21" s="39">
        <v>2.8420000000000001</v>
      </c>
      <c r="K21" s="39">
        <v>4.16</v>
      </c>
      <c r="L21" s="39">
        <v>0.6</v>
      </c>
      <c r="M21" s="39">
        <v>14</v>
      </c>
    </row>
    <row r="22" spans="1:13" x14ac:dyDescent="0.35">
      <c r="A22">
        <v>24</v>
      </c>
      <c r="B22">
        <v>4</v>
      </c>
      <c r="C22">
        <v>5</v>
      </c>
      <c r="D22" s="39">
        <v>1.1956600000000002</v>
      </c>
      <c r="E22" s="39">
        <v>81.304880000000011</v>
      </c>
      <c r="F22" s="39">
        <v>13.027979999999999</v>
      </c>
      <c r="G22" s="39">
        <v>24.43</v>
      </c>
      <c r="H22" s="39">
        <v>10.587999999999999</v>
      </c>
      <c r="I22" s="39">
        <v>5.069</v>
      </c>
      <c r="J22" s="39">
        <v>2.8460000000000001</v>
      </c>
      <c r="K22" s="39">
        <v>6.62</v>
      </c>
      <c r="L22" s="39">
        <v>1.0900000000000001</v>
      </c>
      <c r="M22" s="39">
        <v>11.1</v>
      </c>
    </row>
    <row r="23" spans="1:13" x14ac:dyDescent="0.35">
      <c r="A23">
        <v>25</v>
      </c>
      <c r="B23">
        <v>8</v>
      </c>
      <c r="C23">
        <v>5</v>
      </c>
      <c r="D23" s="39">
        <v>1.4564000000000001</v>
      </c>
      <c r="E23" s="39">
        <v>101.94800000000001</v>
      </c>
      <c r="F23" s="39">
        <v>15.686979999999998</v>
      </c>
      <c r="G23" s="39">
        <v>26.8</v>
      </c>
      <c r="H23" s="39">
        <v>9.5920000000000005</v>
      </c>
      <c r="I23" s="39">
        <v>4.4090000000000007</v>
      </c>
      <c r="J23" s="39">
        <v>2.5720000000000001</v>
      </c>
      <c r="K23" s="39">
        <v>3.22</v>
      </c>
      <c r="L23" s="39">
        <v>0.87</v>
      </c>
      <c r="M23" s="39">
        <v>12.4</v>
      </c>
    </row>
    <row r="24" spans="1:13" x14ac:dyDescent="0.35">
      <c r="A24">
        <v>26</v>
      </c>
      <c r="B24">
        <v>7</v>
      </c>
      <c r="C24">
        <v>5</v>
      </c>
      <c r="D24" s="39">
        <v>1.4244700000000001</v>
      </c>
      <c r="E24" s="39">
        <v>81.194790000000012</v>
      </c>
      <c r="F24" s="39">
        <v>6.2590000000000003</v>
      </c>
      <c r="G24" s="39">
        <v>25.44</v>
      </c>
      <c r="H24" s="39">
        <v>11.27</v>
      </c>
      <c r="I24" s="39">
        <v>5.9020000000000001</v>
      </c>
      <c r="J24" s="39">
        <v>3.2450000000000001</v>
      </c>
      <c r="K24" s="39">
        <v>2.64</v>
      </c>
      <c r="L24" s="39">
        <v>0.56999999999999995</v>
      </c>
      <c r="M24" s="39">
        <v>15.1</v>
      </c>
    </row>
    <row r="25" spans="1:13" x14ac:dyDescent="0.35">
      <c r="A25">
        <v>27</v>
      </c>
      <c r="B25">
        <v>2</v>
      </c>
      <c r="C25">
        <v>5</v>
      </c>
      <c r="D25" s="39">
        <v>1.06768</v>
      </c>
      <c r="E25" s="39">
        <v>46.977919999999997</v>
      </c>
      <c r="F25" s="39">
        <v>6.2</v>
      </c>
      <c r="G25" s="39">
        <v>26.24</v>
      </c>
      <c r="H25" s="39">
        <v>11.184000000000001</v>
      </c>
      <c r="I25" s="39">
        <v>6.0350000000000001</v>
      </c>
      <c r="J25" s="39">
        <v>3.9590000000000005</v>
      </c>
      <c r="K25" s="39">
        <v>4.5199999999999996</v>
      </c>
      <c r="L25" s="39">
        <v>1.1200000000000001</v>
      </c>
      <c r="M25" s="39">
        <v>14.4</v>
      </c>
    </row>
    <row r="26" spans="1:13" x14ac:dyDescent="0.35">
      <c r="A26">
        <v>28</v>
      </c>
      <c r="B26">
        <v>8</v>
      </c>
      <c r="C26">
        <v>5</v>
      </c>
      <c r="D26" s="39">
        <v>1.32358</v>
      </c>
      <c r="E26" s="39">
        <v>31.765920000000001</v>
      </c>
      <c r="F26" s="39">
        <v>11.599979999999999</v>
      </c>
      <c r="G26" s="39">
        <v>24.74</v>
      </c>
      <c r="H26" s="39">
        <v>10.433</v>
      </c>
      <c r="I26" s="39">
        <v>4.4859999999999998</v>
      </c>
      <c r="J26" s="39">
        <v>2.9079999999999999</v>
      </c>
      <c r="K26" s="39">
        <v>5.17</v>
      </c>
      <c r="L26" s="39">
        <v>1.07</v>
      </c>
      <c r="M26" s="39">
        <v>13.7</v>
      </c>
    </row>
    <row r="27" spans="1:13" x14ac:dyDescent="0.35">
      <c r="A27">
        <v>29</v>
      </c>
      <c r="B27">
        <v>8</v>
      </c>
      <c r="C27">
        <v>5</v>
      </c>
      <c r="D27" s="39">
        <v>1.4939500000000001</v>
      </c>
      <c r="E27" s="39">
        <v>109.05835</v>
      </c>
      <c r="F27" s="39">
        <v>14.527999999999999</v>
      </c>
      <c r="G27" s="39">
        <v>22.96</v>
      </c>
      <c r="H27" s="39">
        <v>12.132999999999999</v>
      </c>
      <c r="I27" s="39">
        <v>6.484</v>
      </c>
      <c r="J27" s="39">
        <v>4.1479999999999997</v>
      </c>
      <c r="K27" s="39">
        <v>3.04</v>
      </c>
      <c r="L27" s="39">
        <v>0.85</v>
      </c>
      <c r="M27" s="39">
        <v>12.7</v>
      </c>
    </row>
    <row r="28" spans="1:13" x14ac:dyDescent="0.35">
      <c r="A28">
        <v>30</v>
      </c>
      <c r="B28">
        <v>5</v>
      </c>
      <c r="C28">
        <v>5</v>
      </c>
      <c r="D28" s="39">
        <v>1.2544300000000002</v>
      </c>
      <c r="E28" s="39">
        <v>107.88098000000001</v>
      </c>
      <c r="F28" s="39">
        <v>9.2179699999999993</v>
      </c>
      <c r="G28" s="39">
        <v>24.43</v>
      </c>
      <c r="H28" s="39">
        <v>9.8859999999999992</v>
      </c>
      <c r="I28" s="39">
        <v>4.6440000000000001</v>
      </c>
      <c r="J28" s="39">
        <v>2.5010000000000003</v>
      </c>
      <c r="K28" s="39">
        <v>3.24</v>
      </c>
      <c r="L28" s="39">
        <v>0.92</v>
      </c>
      <c r="M28" s="39">
        <v>12.6</v>
      </c>
    </row>
    <row r="29" spans="1:13" x14ac:dyDescent="0.35">
      <c r="A29">
        <v>31</v>
      </c>
      <c r="B29">
        <v>1</v>
      </c>
      <c r="C29">
        <v>5</v>
      </c>
      <c r="D29" s="39">
        <v>1.30975</v>
      </c>
      <c r="E29" s="39">
        <v>81.204499999999996</v>
      </c>
      <c r="F29" s="39">
        <v>1.2450000000000001</v>
      </c>
      <c r="G29" s="39">
        <v>22.26</v>
      </c>
      <c r="H29" s="39">
        <v>9.91</v>
      </c>
      <c r="I29" s="39">
        <v>4.5969999999999995</v>
      </c>
      <c r="J29" s="39">
        <v>2.7770000000000001</v>
      </c>
      <c r="K29" s="39">
        <v>3.26</v>
      </c>
      <c r="L29" s="39">
        <v>0.77</v>
      </c>
      <c r="M29" s="39">
        <v>13.3</v>
      </c>
    </row>
    <row r="30" spans="1:13" x14ac:dyDescent="0.35">
      <c r="A30">
        <v>32</v>
      </c>
      <c r="B30">
        <v>10</v>
      </c>
      <c r="C30">
        <v>5</v>
      </c>
      <c r="D30" s="39">
        <v>1.15357</v>
      </c>
      <c r="E30" s="39">
        <v>24.224969999999999</v>
      </c>
      <c r="F30" s="39">
        <v>6.7430000000000003</v>
      </c>
      <c r="G30" s="39">
        <v>24.12</v>
      </c>
      <c r="H30" s="39">
        <v>10.404</v>
      </c>
      <c r="I30" s="39">
        <v>5.3710000000000004</v>
      </c>
      <c r="J30" s="39">
        <v>4.5679999999999996</v>
      </c>
      <c r="K30" s="39">
        <v>3.47</v>
      </c>
      <c r="L30" s="39">
        <v>0.9</v>
      </c>
      <c r="M30" s="39">
        <v>13</v>
      </c>
    </row>
    <row r="31" spans="1:13" x14ac:dyDescent="0.35">
      <c r="A31">
        <v>33</v>
      </c>
      <c r="B31">
        <v>2</v>
      </c>
      <c r="C31">
        <v>5</v>
      </c>
      <c r="D31" s="39">
        <v>0.94208999999999998</v>
      </c>
      <c r="E31" s="39">
        <v>48.988680000000002</v>
      </c>
      <c r="F31" s="39">
        <v>1.6060000000000001</v>
      </c>
      <c r="G31" s="39">
        <v>21.3</v>
      </c>
      <c r="H31" s="39">
        <v>8.4510000000000005</v>
      </c>
      <c r="I31" s="39">
        <v>2.9980000000000002</v>
      </c>
      <c r="J31" s="39">
        <v>2.6629999999999998</v>
      </c>
      <c r="K31" s="39">
        <v>3.54</v>
      </c>
      <c r="L31" s="39">
        <v>1.29</v>
      </c>
      <c r="M31" s="39">
        <v>13.5</v>
      </c>
    </row>
    <row r="32" spans="1:13" x14ac:dyDescent="0.35">
      <c r="A32">
        <v>37</v>
      </c>
      <c r="B32">
        <v>1</v>
      </c>
      <c r="C32">
        <v>3</v>
      </c>
      <c r="D32" s="39">
        <v>0.78534999999999999</v>
      </c>
      <c r="E32" s="39">
        <v>32.984699999999997</v>
      </c>
      <c r="F32" s="39">
        <v>5.7239900000000006</v>
      </c>
      <c r="G32" s="39">
        <v>20.5</v>
      </c>
      <c r="H32" s="39">
        <v>10.187999999999999</v>
      </c>
      <c r="I32" s="39">
        <v>4.032</v>
      </c>
      <c r="J32" s="39">
        <v>3.2810000000000001</v>
      </c>
      <c r="K32" s="39">
        <v>3.36</v>
      </c>
      <c r="L32" s="39">
        <v>1.02</v>
      </c>
      <c r="M32" s="39">
        <v>15</v>
      </c>
    </row>
    <row r="33" spans="1:13" x14ac:dyDescent="0.35">
      <c r="A33">
        <v>38</v>
      </c>
      <c r="B33">
        <v>5</v>
      </c>
      <c r="C33">
        <v>3</v>
      </c>
      <c r="D33" s="39">
        <v>0.91213999999999995</v>
      </c>
      <c r="E33" s="39">
        <v>82.09259999999999</v>
      </c>
      <c r="F33" s="39">
        <v>3.7489999999999997</v>
      </c>
      <c r="G33" s="39">
        <v>18.16</v>
      </c>
      <c r="H33" s="39">
        <v>10.165000000000001</v>
      </c>
      <c r="I33" s="39">
        <v>4.069</v>
      </c>
      <c r="J33" s="39">
        <v>3.0829999999999997</v>
      </c>
      <c r="K33" s="39">
        <v>3.01</v>
      </c>
      <c r="L33" s="39">
        <v>0.89</v>
      </c>
      <c r="M33" s="39">
        <v>12.5</v>
      </c>
    </row>
    <row r="34" spans="1:13" x14ac:dyDescent="0.35">
      <c r="A34">
        <v>39</v>
      </c>
      <c r="B34">
        <v>8</v>
      </c>
      <c r="C34">
        <v>3</v>
      </c>
      <c r="D34" s="39">
        <v>0.90978999999999999</v>
      </c>
      <c r="E34" s="39">
        <v>56.406979999999997</v>
      </c>
      <c r="F34" s="39">
        <v>8.5329999999999995</v>
      </c>
      <c r="G34" s="39">
        <v>21.22</v>
      </c>
      <c r="H34" s="39">
        <v>9.3249999999999993</v>
      </c>
      <c r="I34" s="39">
        <v>4.3070000000000004</v>
      </c>
      <c r="J34" s="39">
        <v>2.9</v>
      </c>
      <c r="K34" s="39">
        <v>3.94</v>
      </c>
      <c r="L34" s="39">
        <v>0.98</v>
      </c>
      <c r="M34" s="39">
        <v>14.8</v>
      </c>
    </row>
    <row r="35" spans="1:13" x14ac:dyDescent="0.35">
      <c r="A35">
        <v>40</v>
      </c>
      <c r="B35">
        <v>2</v>
      </c>
      <c r="C35">
        <v>3</v>
      </c>
      <c r="D35" s="39">
        <v>1.22332</v>
      </c>
      <c r="E35" s="39">
        <v>56.27272</v>
      </c>
      <c r="F35" s="39">
        <v>1.74</v>
      </c>
      <c r="G35" s="39">
        <v>23.44</v>
      </c>
      <c r="H35" s="39">
        <v>10.702</v>
      </c>
      <c r="I35" s="39">
        <v>5.5060000000000002</v>
      </c>
      <c r="J35" s="39">
        <v>4.1820000000000004</v>
      </c>
      <c r="K35" s="39">
        <v>2.08</v>
      </c>
      <c r="L35" s="39">
        <v>0.91</v>
      </c>
      <c r="M35" s="39">
        <v>13.6</v>
      </c>
    </row>
    <row r="36" spans="1:13" x14ac:dyDescent="0.35">
      <c r="A36">
        <v>41</v>
      </c>
      <c r="B36">
        <v>4</v>
      </c>
      <c r="C36">
        <v>3</v>
      </c>
      <c r="D36" s="39">
        <v>1.3610499999999999</v>
      </c>
      <c r="E36" s="39">
        <v>50.358849999999997</v>
      </c>
      <c r="F36" s="39">
        <v>12.76548</v>
      </c>
      <c r="G36" s="39">
        <v>23.95</v>
      </c>
      <c r="H36" s="39">
        <v>12.035</v>
      </c>
      <c r="I36" s="39">
        <v>6.2389999999999999</v>
      </c>
      <c r="J36" s="39">
        <v>2.9050000000000002</v>
      </c>
      <c r="K36" s="39">
        <v>5.48</v>
      </c>
      <c r="L36" s="39">
        <v>1.57</v>
      </c>
      <c r="M36" s="39">
        <v>15</v>
      </c>
    </row>
    <row r="37" spans="1:13" x14ac:dyDescent="0.35">
      <c r="A37">
        <v>42</v>
      </c>
      <c r="B37">
        <v>8</v>
      </c>
      <c r="C37">
        <v>3</v>
      </c>
      <c r="D37" s="39">
        <v>0.92900000000000005</v>
      </c>
      <c r="E37" s="39">
        <v>52.024000000000001</v>
      </c>
      <c r="F37" s="39">
        <v>5.7539999999999996</v>
      </c>
      <c r="G37" s="39">
        <v>22.72</v>
      </c>
      <c r="H37" s="39">
        <v>11.105</v>
      </c>
      <c r="I37" s="39">
        <v>5.0630000000000006</v>
      </c>
      <c r="J37" s="39">
        <v>3.0680000000000001</v>
      </c>
      <c r="K37" s="39">
        <v>3.3</v>
      </c>
      <c r="L37" s="39">
        <v>0.89</v>
      </c>
      <c r="M37" s="39">
        <v>13.7</v>
      </c>
    </row>
    <row r="38" spans="1:13" x14ac:dyDescent="0.35">
      <c r="A38">
        <v>43</v>
      </c>
      <c r="B38">
        <v>4</v>
      </c>
      <c r="C38">
        <v>3</v>
      </c>
      <c r="D38" s="39">
        <v>1.5946099999999999</v>
      </c>
      <c r="E38" s="39">
        <v>66.973619999999997</v>
      </c>
      <c r="F38" s="39">
        <v>1.9770000000000001</v>
      </c>
      <c r="G38" s="39">
        <v>25.96</v>
      </c>
      <c r="H38" s="39">
        <v>11.048</v>
      </c>
      <c r="I38" s="39">
        <v>4.835</v>
      </c>
      <c r="J38" s="39">
        <v>3.1399999999999997</v>
      </c>
      <c r="K38" s="39">
        <v>3.38</v>
      </c>
      <c r="L38" s="39">
        <v>0.98</v>
      </c>
      <c r="M38" s="39">
        <v>13.7</v>
      </c>
    </row>
    <row r="39" spans="1:13" x14ac:dyDescent="0.35">
      <c r="A39">
        <v>44</v>
      </c>
      <c r="B39">
        <v>8</v>
      </c>
      <c r="C39">
        <v>3</v>
      </c>
      <c r="D39" s="39">
        <v>0.95966999999999991</v>
      </c>
      <c r="E39" s="39">
        <v>35.50779</v>
      </c>
      <c r="F39" s="39">
        <v>7.702</v>
      </c>
      <c r="G39" s="39">
        <v>21.38</v>
      </c>
      <c r="H39" s="39">
        <v>10.987</v>
      </c>
      <c r="I39" s="39">
        <v>5.2869999999999999</v>
      </c>
      <c r="J39" s="39">
        <v>2.91</v>
      </c>
      <c r="K39" s="39">
        <v>5.41</v>
      </c>
      <c r="L39" s="39">
        <v>0.89</v>
      </c>
      <c r="M39" s="39">
        <v>15.6</v>
      </c>
    </row>
    <row r="40" spans="1:13" x14ac:dyDescent="0.35">
      <c r="A40">
        <v>45</v>
      </c>
      <c r="B40">
        <v>3</v>
      </c>
      <c r="C40">
        <v>3</v>
      </c>
      <c r="D40" s="39">
        <v>1.0169699999999999</v>
      </c>
      <c r="E40" s="39">
        <v>41.695769999999996</v>
      </c>
      <c r="F40" s="39">
        <v>3.65998</v>
      </c>
      <c r="G40" s="39">
        <v>22.5</v>
      </c>
      <c r="H40" s="39">
        <v>8.468</v>
      </c>
      <c r="I40" s="39">
        <v>4.2610000000000001</v>
      </c>
      <c r="J40" s="39">
        <v>2.6230000000000002</v>
      </c>
      <c r="K40" s="39">
        <v>2.78</v>
      </c>
      <c r="L40" s="39">
        <v>0.95</v>
      </c>
      <c r="M40" s="39">
        <v>14.3</v>
      </c>
    </row>
    <row r="41" spans="1:13" x14ac:dyDescent="0.35">
      <c r="A41">
        <v>46</v>
      </c>
      <c r="B41">
        <v>1</v>
      </c>
      <c r="C41">
        <v>3</v>
      </c>
      <c r="D41" s="39">
        <v>1.13175</v>
      </c>
      <c r="E41" s="39">
        <v>27.161999999999999</v>
      </c>
      <c r="F41" s="39">
        <v>2.9949999999999997</v>
      </c>
      <c r="G41" s="39">
        <v>19.86</v>
      </c>
      <c r="H41" s="39">
        <v>11.586</v>
      </c>
      <c r="I41" s="39">
        <v>5.9219999999999997</v>
      </c>
      <c r="J41" s="39">
        <v>3.0840000000000001</v>
      </c>
      <c r="K41" s="39">
        <v>4.6500000000000004</v>
      </c>
      <c r="L41" s="39">
        <v>0.99</v>
      </c>
      <c r="M41" s="39">
        <v>14.5</v>
      </c>
    </row>
    <row r="42" spans="1:13" x14ac:dyDescent="0.35">
      <c r="A42">
        <v>47</v>
      </c>
      <c r="B42">
        <v>3</v>
      </c>
      <c r="C42">
        <v>3</v>
      </c>
      <c r="D42" s="39">
        <v>1.0124299999999999</v>
      </c>
      <c r="E42" s="39">
        <v>37.459910000000001</v>
      </c>
      <c r="F42" s="39">
        <v>3.032</v>
      </c>
      <c r="G42" s="39">
        <v>24.9</v>
      </c>
      <c r="H42" s="39">
        <v>9.8379999999999992</v>
      </c>
      <c r="I42" s="39">
        <v>4.633</v>
      </c>
      <c r="J42" s="39">
        <v>2.964</v>
      </c>
      <c r="K42" s="39">
        <v>3.45</v>
      </c>
      <c r="L42" s="39">
        <v>0.97</v>
      </c>
      <c r="M42" s="39">
        <v>15.8</v>
      </c>
    </row>
    <row r="43" spans="1:13" x14ac:dyDescent="0.35">
      <c r="A43">
        <v>48</v>
      </c>
      <c r="B43">
        <v>8</v>
      </c>
      <c r="C43">
        <v>3</v>
      </c>
      <c r="D43" s="39">
        <v>1.14859</v>
      </c>
      <c r="E43" s="39">
        <v>50.537959999999998</v>
      </c>
      <c r="F43" s="39">
        <v>5.2549999999999999</v>
      </c>
      <c r="G43" s="39">
        <v>23.02</v>
      </c>
      <c r="H43" s="39">
        <v>10.415000000000001</v>
      </c>
      <c r="I43" s="39">
        <v>4.5960000000000001</v>
      </c>
      <c r="J43" s="39">
        <v>2.794</v>
      </c>
      <c r="K43" s="39">
        <v>2.92</v>
      </c>
      <c r="L43" s="39">
        <v>0.74</v>
      </c>
      <c r="M43" s="39">
        <v>13.6</v>
      </c>
    </row>
    <row r="44" spans="1:13" x14ac:dyDescent="0.35">
      <c r="A44">
        <v>49</v>
      </c>
      <c r="B44">
        <v>7</v>
      </c>
      <c r="C44">
        <v>3</v>
      </c>
      <c r="D44" s="39">
        <v>0.77795000000000003</v>
      </c>
      <c r="E44" s="39">
        <v>52.900600000000004</v>
      </c>
      <c r="F44" s="39">
        <v>9.0389800000000005</v>
      </c>
      <c r="G44" s="39">
        <v>19</v>
      </c>
      <c r="H44" s="39">
        <v>11.07</v>
      </c>
      <c r="I44" s="39">
        <v>5.8209999999999997</v>
      </c>
      <c r="J44" s="39">
        <v>3.839</v>
      </c>
      <c r="K44" s="39">
        <v>5.12</v>
      </c>
      <c r="L44" s="39">
        <v>0.77</v>
      </c>
      <c r="M44" s="39">
        <v>15.5</v>
      </c>
    </row>
    <row r="45" spans="1:13" x14ac:dyDescent="0.35">
      <c r="A45">
        <v>50</v>
      </c>
      <c r="B45">
        <v>3</v>
      </c>
      <c r="C45">
        <v>3</v>
      </c>
      <c r="D45" s="39">
        <v>1.0703199999999999</v>
      </c>
      <c r="E45" s="39">
        <v>46.023759999999996</v>
      </c>
      <c r="F45" s="39">
        <v>2.23</v>
      </c>
      <c r="G45" s="39">
        <v>22.28</v>
      </c>
      <c r="H45" s="39">
        <v>10.306000000000001</v>
      </c>
      <c r="I45" s="39">
        <v>4.4930000000000003</v>
      </c>
      <c r="J45" s="39">
        <v>2.8289999999999997</v>
      </c>
      <c r="K45" s="39">
        <v>3.39</v>
      </c>
      <c r="L45" s="39">
        <v>1</v>
      </c>
      <c r="M45" s="39">
        <v>14.2</v>
      </c>
    </row>
    <row r="46" spans="1:13" x14ac:dyDescent="0.35">
      <c r="A46">
        <v>51</v>
      </c>
      <c r="B46">
        <v>4</v>
      </c>
      <c r="C46">
        <v>3</v>
      </c>
      <c r="D46" s="39">
        <v>1.39615</v>
      </c>
      <c r="E46" s="39">
        <v>71.203649999999996</v>
      </c>
      <c r="F46" s="39">
        <v>23.141960000000001</v>
      </c>
      <c r="G46" s="39">
        <v>20.3</v>
      </c>
      <c r="H46" s="39">
        <v>11.481999999999999</v>
      </c>
      <c r="I46" s="39">
        <v>4.8319999999999999</v>
      </c>
      <c r="J46" s="39">
        <v>3.1139999999999999</v>
      </c>
      <c r="K46" s="39">
        <v>3.68</v>
      </c>
      <c r="L46" s="39">
        <v>0.8</v>
      </c>
      <c r="M46" s="39">
        <v>14.2</v>
      </c>
    </row>
    <row r="47" spans="1:13" x14ac:dyDescent="0.35">
      <c r="A47">
        <v>55</v>
      </c>
      <c r="B47">
        <v>10</v>
      </c>
      <c r="C47">
        <v>8</v>
      </c>
      <c r="D47" s="39">
        <v>1.52803</v>
      </c>
      <c r="E47" s="39">
        <v>82.513620000000003</v>
      </c>
      <c r="F47" s="39">
        <v>14.567959999999999</v>
      </c>
      <c r="G47" s="39">
        <v>22.88</v>
      </c>
      <c r="H47" s="39">
        <v>11.994</v>
      </c>
      <c r="I47" s="39">
        <v>5.8129999999999997</v>
      </c>
      <c r="J47" s="39">
        <v>2.9460000000000002</v>
      </c>
      <c r="K47" s="39">
        <v>6.61</v>
      </c>
      <c r="L47" s="39">
        <v>0.91</v>
      </c>
      <c r="M47" s="39">
        <v>13.44</v>
      </c>
    </row>
    <row r="48" spans="1:13" x14ac:dyDescent="0.35">
      <c r="A48">
        <v>56</v>
      </c>
      <c r="B48">
        <v>1</v>
      </c>
      <c r="C48">
        <v>8</v>
      </c>
      <c r="D48" s="39">
        <v>1.0810999999999999</v>
      </c>
      <c r="E48" s="39">
        <v>70.271500000000003</v>
      </c>
      <c r="F48" s="39">
        <v>11.276</v>
      </c>
      <c r="G48" s="39">
        <v>22.34</v>
      </c>
      <c r="H48" s="39">
        <v>10.801</v>
      </c>
      <c r="I48" s="39">
        <v>4.726</v>
      </c>
      <c r="J48" s="39">
        <v>2.99</v>
      </c>
      <c r="K48" s="39">
        <v>4.78</v>
      </c>
      <c r="L48" s="39">
        <v>1.08</v>
      </c>
      <c r="M48" s="39">
        <v>12.5</v>
      </c>
    </row>
    <row r="49" spans="1:13" x14ac:dyDescent="0.35">
      <c r="A49">
        <v>57</v>
      </c>
      <c r="B49">
        <v>10</v>
      </c>
      <c r="C49">
        <v>8</v>
      </c>
      <c r="D49" s="39">
        <v>1.5944100000000001</v>
      </c>
      <c r="E49" s="39">
        <v>103.63665</v>
      </c>
      <c r="F49" s="39">
        <v>12.654</v>
      </c>
      <c r="G49" s="39">
        <v>27.74</v>
      </c>
      <c r="H49" s="39">
        <v>11.282999999999999</v>
      </c>
      <c r="I49" s="39">
        <v>5.3170000000000002</v>
      </c>
      <c r="J49" s="39">
        <v>3.0630000000000002</v>
      </c>
      <c r="K49" s="39">
        <v>2.5099999999999998</v>
      </c>
      <c r="L49" s="39">
        <v>0.7</v>
      </c>
      <c r="M49" s="39">
        <v>12.18</v>
      </c>
    </row>
    <row r="50" spans="1:13" x14ac:dyDescent="0.35">
      <c r="A50">
        <v>58</v>
      </c>
      <c r="B50">
        <v>5</v>
      </c>
      <c r="C50">
        <v>8</v>
      </c>
      <c r="D50" s="39">
        <v>1.633</v>
      </c>
      <c r="E50" s="39">
        <v>68.585999999999999</v>
      </c>
      <c r="F50" s="39">
        <v>15.810969999999999</v>
      </c>
      <c r="G50" s="39">
        <v>26</v>
      </c>
      <c r="H50" s="39">
        <v>11.195</v>
      </c>
      <c r="I50" s="39">
        <v>5.7229999999999999</v>
      </c>
      <c r="J50" s="39">
        <v>2.9279999999999999</v>
      </c>
      <c r="K50" s="39">
        <v>2.61</v>
      </c>
      <c r="L50" s="39">
        <v>0.97</v>
      </c>
      <c r="M50" s="39">
        <v>14.2</v>
      </c>
    </row>
    <row r="51" spans="1:13" x14ac:dyDescent="0.35">
      <c r="A51">
        <v>59</v>
      </c>
      <c r="B51">
        <v>9</v>
      </c>
      <c r="C51">
        <v>8</v>
      </c>
      <c r="D51" s="39">
        <v>1.2742100000000001</v>
      </c>
      <c r="E51" s="39">
        <v>82.823650000000001</v>
      </c>
      <c r="F51" s="39">
        <v>14.631960000000001</v>
      </c>
      <c r="G51" s="39">
        <v>23.72</v>
      </c>
      <c r="H51" s="39">
        <v>10.327</v>
      </c>
      <c r="I51" s="39">
        <v>4.2709999999999999</v>
      </c>
      <c r="J51" s="39">
        <v>3.0569999999999999</v>
      </c>
      <c r="K51" s="39">
        <v>3.35</v>
      </c>
      <c r="L51" s="39">
        <v>0.51</v>
      </c>
      <c r="M51" s="39">
        <v>15.4</v>
      </c>
    </row>
    <row r="52" spans="1:13" x14ac:dyDescent="0.35">
      <c r="A52">
        <v>60</v>
      </c>
      <c r="B52">
        <v>1</v>
      </c>
      <c r="C52">
        <v>8</v>
      </c>
      <c r="D52" s="39">
        <v>1.3509200000000001</v>
      </c>
      <c r="E52" s="39">
        <v>72.949680000000001</v>
      </c>
      <c r="F52" s="39">
        <v>4.2509900000000007</v>
      </c>
      <c r="G52" s="39">
        <v>26.28</v>
      </c>
      <c r="H52" s="39">
        <v>10.308</v>
      </c>
      <c r="I52" s="39">
        <v>4.4720000000000004</v>
      </c>
      <c r="J52" s="39">
        <v>2.8170000000000002</v>
      </c>
      <c r="K52" s="39">
        <v>3.33</v>
      </c>
      <c r="L52" s="39">
        <v>0.68</v>
      </c>
      <c r="M52" s="39">
        <v>13.3</v>
      </c>
    </row>
    <row r="53" spans="1:13" x14ac:dyDescent="0.35">
      <c r="A53">
        <v>61</v>
      </c>
      <c r="B53">
        <v>2</v>
      </c>
      <c r="C53">
        <v>8</v>
      </c>
      <c r="D53" s="39">
        <v>1.13456</v>
      </c>
      <c r="E53" s="39">
        <v>89.630240000000001</v>
      </c>
      <c r="F53" s="39">
        <v>3.9600000000000004</v>
      </c>
      <c r="G53" s="39">
        <v>22.6</v>
      </c>
      <c r="H53" s="39">
        <v>9.5229999999999997</v>
      </c>
      <c r="I53" s="39">
        <v>3.6970000000000001</v>
      </c>
      <c r="J53" s="39">
        <v>2.8849999999999998</v>
      </c>
      <c r="K53" s="39">
        <v>3.65</v>
      </c>
      <c r="L53" s="39">
        <v>1.26</v>
      </c>
      <c r="M53" s="39">
        <v>14.1</v>
      </c>
    </row>
    <row r="54" spans="1:13" x14ac:dyDescent="0.35">
      <c r="A54">
        <v>62</v>
      </c>
      <c r="B54">
        <v>8</v>
      </c>
      <c r="C54">
        <v>8</v>
      </c>
      <c r="D54" s="39">
        <v>1.39411</v>
      </c>
      <c r="E54" s="39">
        <v>87.82893</v>
      </c>
      <c r="F54" s="39">
        <v>16.933970000000002</v>
      </c>
      <c r="G54" s="39">
        <v>24.22</v>
      </c>
      <c r="H54" s="39">
        <v>11.247</v>
      </c>
      <c r="I54" s="39">
        <v>5.4050000000000002</v>
      </c>
      <c r="J54" s="39">
        <v>3.0630000000000002</v>
      </c>
      <c r="K54" s="39">
        <v>4.01</v>
      </c>
      <c r="L54" s="39">
        <v>1.3</v>
      </c>
      <c r="M54" s="39">
        <v>11.7</v>
      </c>
    </row>
    <row r="55" spans="1:13" x14ac:dyDescent="0.35">
      <c r="A55">
        <v>63</v>
      </c>
      <c r="B55">
        <v>8</v>
      </c>
      <c r="C55">
        <v>8</v>
      </c>
      <c r="D55" s="39">
        <v>1.38611</v>
      </c>
      <c r="E55" s="39">
        <v>106.73047</v>
      </c>
      <c r="F55" s="39">
        <v>5.1980000000000004</v>
      </c>
      <c r="G55" s="39">
        <v>23.48</v>
      </c>
      <c r="H55" s="39">
        <v>9.8870000000000005</v>
      </c>
      <c r="I55" s="39">
        <v>4.3010000000000002</v>
      </c>
      <c r="J55" s="39">
        <v>2.74</v>
      </c>
      <c r="K55" s="39">
        <v>2.79</v>
      </c>
      <c r="L55" s="39">
        <v>0.6</v>
      </c>
      <c r="M55" s="39">
        <v>13.5</v>
      </c>
    </row>
    <row r="56" spans="1:13" x14ac:dyDescent="0.35">
      <c r="A56">
        <v>64</v>
      </c>
      <c r="B56">
        <v>3</v>
      </c>
      <c r="C56">
        <v>8</v>
      </c>
      <c r="D56" s="39">
        <v>0.83087</v>
      </c>
      <c r="E56" s="39">
        <v>40.712629999999997</v>
      </c>
      <c r="F56" s="39">
        <v>5.2169999999999996</v>
      </c>
      <c r="G56" s="39">
        <v>21.64</v>
      </c>
      <c r="H56" s="39">
        <v>10.914999999999999</v>
      </c>
      <c r="I56" s="39">
        <v>5.1260000000000003</v>
      </c>
      <c r="J56" s="39">
        <v>3.0270000000000001</v>
      </c>
      <c r="K56" s="39">
        <v>2.83</v>
      </c>
      <c r="L56" s="39">
        <v>0.68</v>
      </c>
      <c r="M56" s="39">
        <v>14.7</v>
      </c>
    </row>
    <row r="57" spans="1:13" x14ac:dyDescent="0.35">
      <c r="A57">
        <v>65</v>
      </c>
      <c r="B57">
        <v>4</v>
      </c>
      <c r="C57">
        <v>8</v>
      </c>
      <c r="D57" s="39">
        <v>1.1776</v>
      </c>
      <c r="E57" s="39">
        <v>77.721599999999995</v>
      </c>
      <c r="F57" s="39">
        <v>5.9169900000000002</v>
      </c>
      <c r="G57" s="39">
        <v>20.239999999999998</v>
      </c>
      <c r="H57" s="39">
        <v>9.3940000000000001</v>
      </c>
      <c r="I57" s="39">
        <v>4.5490000000000004</v>
      </c>
      <c r="J57" s="39">
        <v>2.5070000000000001</v>
      </c>
      <c r="K57" s="39">
        <v>3.15</v>
      </c>
      <c r="L57" s="39">
        <v>0.38</v>
      </c>
      <c r="M57" s="39">
        <v>14.35</v>
      </c>
    </row>
    <row r="58" spans="1:13" x14ac:dyDescent="0.35">
      <c r="A58">
        <v>66</v>
      </c>
      <c r="B58">
        <v>1</v>
      </c>
      <c r="C58">
        <v>8</v>
      </c>
      <c r="D58" s="39">
        <v>1.2449300000000001</v>
      </c>
      <c r="E58" s="39">
        <v>61.001570000000001</v>
      </c>
      <c r="F58" s="39">
        <v>2.0310000000000001</v>
      </c>
      <c r="G58" s="39">
        <v>22.28</v>
      </c>
      <c r="H58" s="39">
        <v>9.42</v>
      </c>
      <c r="I58" s="39">
        <v>4.4740000000000002</v>
      </c>
      <c r="J58" s="39">
        <v>2.5790000000000002</v>
      </c>
      <c r="K58" s="39">
        <v>2.81</v>
      </c>
      <c r="L58" s="39">
        <v>0.55000000000000004</v>
      </c>
      <c r="M58" s="39">
        <v>13.3</v>
      </c>
    </row>
    <row r="59" spans="1:13" x14ac:dyDescent="0.35">
      <c r="A59">
        <v>67</v>
      </c>
      <c r="B59">
        <v>10</v>
      </c>
      <c r="C59">
        <v>8</v>
      </c>
      <c r="D59" s="39">
        <v>0.82259000000000004</v>
      </c>
      <c r="E59" s="39">
        <v>79.791229999999999</v>
      </c>
      <c r="F59" s="39">
        <v>9.5450000000000017</v>
      </c>
      <c r="G59" s="39">
        <v>19.72</v>
      </c>
      <c r="H59" s="39">
        <v>9.4640000000000004</v>
      </c>
      <c r="I59" s="39">
        <v>3.9239999999999999</v>
      </c>
      <c r="J59" s="39">
        <v>3.133</v>
      </c>
      <c r="K59" s="39">
        <v>2.5099999999999998</v>
      </c>
      <c r="L59" s="39">
        <v>0.49</v>
      </c>
      <c r="M59" s="39">
        <v>14.14</v>
      </c>
    </row>
    <row r="60" spans="1:13" x14ac:dyDescent="0.35">
      <c r="A60">
        <v>68</v>
      </c>
      <c r="B60">
        <v>5</v>
      </c>
      <c r="C60">
        <v>8</v>
      </c>
      <c r="D60" s="39">
        <v>0.87569000000000008</v>
      </c>
      <c r="E60" s="39">
        <v>91.071760000000012</v>
      </c>
      <c r="F60" s="39">
        <v>5.79</v>
      </c>
      <c r="G60" s="39">
        <v>19.43</v>
      </c>
      <c r="H60" s="39">
        <v>10.204000000000001</v>
      </c>
      <c r="I60" s="39">
        <v>4.2320000000000002</v>
      </c>
      <c r="J60" s="39">
        <v>3.1179999999999999</v>
      </c>
      <c r="K60" s="39">
        <v>6.66</v>
      </c>
      <c r="L60" s="39">
        <v>0.93</v>
      </c>
      <c r="M60" s="39">
        <v>13.1</v>
      </c>
    </row>
    <row r="61" spans="1:13" x14ac:dyDescent="0.35">
      <c r="A61">
        <v>69</v>
      </c>
      <c r="B61">
        <v>1</v>
      </c>
      <c r="C61">
        <v>8</v>
      </c>
      <c r="D61" s="39">
        <v>0.98065000000000002</v>
      </c>
      <c r="E61" s="39">
        <v>59.819650000000003</v>
      </c>
      <c r="F61" s="39">
        <v>4.3979999999999997</v>
      </c>
      <c r="G61" s="39">
        <v>17.14</v>
      </c>
      <c r="H61" s="39">
        <v>8.3230000000000004</v>
      </c>
      <c r="I61" s="39">
        <v>3.7509999999999999</v>
      </c>
      <c r="J61" s="39">
        <v>2.4180000000000001</v>
      </c>
      <c r="K61" s="39">
        <v>2.65</v>
      </c>
      <c r="L61" s="39">
        <v>0.61</v>
      </c>
      <c r="M61" s="39">
        <v>14</v>
      </c>
    </row>
    <row r="62" spans="1:13" x14ac:dyDescent="0.35">
      <c r="A62">
        <v>73</v>
      </c>
      <c r="B62">
        <v>8</v>
      </c>
      <c r="C62">
        <v>9</v>
      </c>
      <c r="D62" s="39">
        <v>1.7273399999999999</v>
      </c>
      <c r="E62" s="39">
        <v>74.275619999999989</v>
      </c>
      <c r="F62" s="39">
        <v>13.423999999999999</v>
      </c>
      <c r="G62" s="39">
        <v>31.58</v>
      </c>
      <c r="H62" s="39">
        <v>12.234</v>
      </c>
      <c r="I62" s="39">
        <v>6.1529999999999996</v>
      </c>
      <c r="J62" s="39">
        <v>3.4790000000000001</v>
      </c>
      <c r="K62" s="39">
        <v>2.91</v>
      </c>
      <c r="L62" s="39">
        <v>1.51</v>
      </c>
      <c r="M62" s="39">
        <v>13</v>
      </c>
    </row>
    <row r="63" spans="1:13" x14ac:dyDescent="0.35">
      <c r="A63">
        <v>74</v>
      </c>
      <c r="B63">
        <v>3</v>
      </c>
      <c r="C63">
        <v>9</v>
      </c>
      <c r="D63" s="39">
        <v>1.38761</v>
      </c>
      <c r="E63" s="39">
        <v>79.093770000000006</v>
      </c>
      <c r="F63" s="39">
        <v>8.906979999999999</v>
      </c>
      <c r="G63" s="39">
        <v>21.53</v>
      </c>
      <c r="H63" s="39">
        <v>11.558999999999999</v>
      </c>
      <c r="I63" s="39">
        <v>6.0060000000000002</v>
      </c>
      <c r="J63" s="39">
        <v>2.8220000000000001</v>
      </c>
      <c r="K63" s="39">
        <v>3.42</v>
      </c>
      <c r="L63" s="39">
        <v>0.98</v>
      </c>
      <c r="M63" s="39">
        <v>14.2</v>
      </c>
    </row>
    <row r="64" spans="1:13" x14ac:dyDescent="0.35">
      <c r="A64">
        <v>75</v>
      </c>
      <c r="B64">
        <v>9</v>
      </c>
      <c r="C64">
        <v>9</v>
      </c>
      <c r="D64" s="39">
        <v>1.5432600000000001</v>
      </c>
      <c r="E64" s="39">
        <v>87.965820000000008</v>
      </c>
      <c r="F64" s="39">
        <v>0.93300000000000005</v>
      </c>
      <c r="G64" s="39">
        <v>22.44</v>
      </c>
      <c r="H64" s="39">
        <v>10.77</v>
      </c>
      <c r="I64" s="39">
        <v>5.24</v>
      </c>
      <c r="J64" s="39">
        <v>2.8820000000000001</v>
      </c>
      <c r="K64" s="39">
        <v>3.91</v>
      </c>
      <c r="L64" s="39">
        <v>1.02</v>
      </c>
      <c r="M64" s="39">
        <v>13.8</v>
      </c>
    </row>
    <row r="65" spans="1:13" x14ac:dyDescent="0.35">
      <c r="A65">
        <v>76</v>
      </c>
      <c r="B65">
        <v>3</v>
      </c>
      <c r="C65">
        <v>9</v>
      </c>
      <c r="D65" s="39">
        <v>1.2549600000000001</v>
      </c>
      <c r="E65" s="39">
        <v>31.374000000000002</v>
      </c>
      <c r="F65" s="39">
        <v>9.4019800000000018</v>
      </c>
      <c r="G65" s="39">
        <v>27</v>
      </c>
      <c r="H65" s="39">
        <v>10.846</v>
      </c>
      <c r="I65" s="39">
        <v>5.7839999999999998</v>
      </c>
      <c r="J65" s="39">
        <v>2.6970000000000001</v>
      </c>
      <c r="K65" s="39">
        <v>5.46</v>
      </c>
      <c r="L65" s="39">
        <v>1.34</v>
      </c>
      <c r="M65" s="39">
        <v>14.5</v>
      </c>
    </row>
    <row r="66" spans="1:13" x14ac:dyDescent="0.35">
      <c r="A66">
        <v>77</v>
      </c>
      <c r="B66">
        <v>1</v>
      </c>
      <c r="C66">
        <v>9</v>
      </c>
      <c r="D66" s="39">
        <v>1.0135099999999999</v>
      </c>
      <c r="E66" s="39">
        <v>39.526889999999995</v>
      </c>
      <c r="F66" s="39">
        <v>7.83</v>
      </c>
      <c r="G66" s="39">
        <v>19.399999999999999</v>
      </c>
      <c r="H66" s="39">
        <v>8.9540000000000006</v>
      </c>
      <c r="I66" s="39">
        <v>4.0890000000000004</v>
      </c>
      <c r="J66" s="39">
        <v>2.5150000000000001</v>
      </c>
      <c r="K66" s="39">
        <v>3.87</v>
      </c>
      <c r="L66" s="39">
        <v>0.91</v>
      </c>
      <c r="M66" s="39">
        <v>13.2</v>
      </c>
    </row>
    <row r="67" spans="1:13" x14ac:dyDescent="0.35">
      <c r="A67">
        <v>78</v>
      </c>
      <c r="B67">
        <v>3</v>
      </c>
      <c r="C67">
        <v>9</v>
      </c>
      <c r="D67" s="39">
        <v>1.4921</v>
      </c>
      <c r="E67" s="39">
        <v>58.191899999999997</v>
      </c>
      <c r="F67" s="39">
        <v>2.18499</v>
      </c>
      <c r="G67" s="39">
        <v>25.08</v>
      </c>
      <c r="H67" s="39">
        <v>10.942</v>
      </c>
      <c r="I67" s="39">
        <v>4.99</v>
      </c>
      <c r="J67" s="39">
        <v>3.3849999999999998</v>
      </c>
      <c r="K67" s="39">
        <v>3.85</v>
      </c>
      <c r="L67" s="39">
        <v>0.75</v>
      </c>
      <c r="M67" s="39">
        <v>12.7</v>
      </c>
    </row>
    <row r="68" spans="1:13" x14ac:dyDescent="0.35">
      <c r="A68">
        <v>79</v>
      </c>
      <c r="B68">
        <v>10</v>
      </c>
      <c r="C68">
        <v>9</v>
      </c>
      <c r="D68" s="39">
        <v>1.2697000000000001</v>
      </c>
      <c r="E68" s="39">
        <v>49.518300000000004</v>
      </c>
      <c r="F68" s="39">
        <v>5.8810000000000002</v>
      </c>
      <c r="G68" s="39">
        <v>19.86</v>
      </c>
      <c r="H68" s="39">
        <v>10.015000000000001</v>
      </c>
      <c r="I68" s="39">
        <v>4.2370000000000001</v>
      </c>
      <c r="J68" s="39">
        <v>2.831</v>
      </c>
      <c r="K68" s="39">
        <v>3.8</v>
      </c>
      <c r="L68" s="39">
        <v>1.03</v>
      </c>
      <c r="M68" s="39">
        <v>15.7</v>
      </c>
    </row>
    <row r="69" spans="1:13" x14ac:dyDescent="0.35">
      <c r="A69">
        <v>80</v>
      </c>
      <c r="B69">
        <v>2</v>
      </c>
      <c r="C69">
        <v>9</v>
      </c>
      <c r="D69" s="39">
        <v>1.2293499999999999</v>
      </c>
      <c r="E69" s="39">
        <v>97.118650000000002</v>
      </c>
      <c r="F69" s="39">
        <v>0.2</v>
      </c>
      <c r="G69" s="39">
        <v>22.62</v>
      </c>
      <c r="H69" s="39">
        <v>10.010999999999999</v>
      </c>
      <c r="I69" s="39">
        <v>4.8460000000000001</v>
      </c>
      <c r="J69" s="39">
        <v>2.8410000000000002</v>
      </c>
      <c r="K69" s="39">
        <v>4.93</v>
      </c>
      <c r="L69" s="39">
        <v>1.1499999999999999</v>
      </c>
      <c r="M69" s="39">
        <v>14.9</v>
      </c>
    </row>
    <row r="70" spans="1:13" x14ac:dyDescent="0.35">
      <c r="A70">
        <v>81</v>
      </c>
      <c r="B70">
        <v>2</v>
      </c>
      <c r="C70">
        <v>9</v>
      </c>
      <c r="D70" s="39">
        <v>1.4086700000000001</v>
      </c>
      <c r="E70" s="39">
        <v>77.476849999999999</v>
      </c>
      <c r="F70" s="39">
        <v>5.99</v>
      </c>
      <c r="G70" s="39">
        <v>21.75</v>
      </c>
      <c r="H70" s="39">
        <v>10.622999999999999</v>
      </c>
      <c r="I70" s="39">
        <v>5.3849999999999998</v>
      </c>
      <c r="J70" s="39">
        <v>3.0470000000000002</v>
      </c>
      <c r="K70" s="39">
        <v>4.7</v>
      </c>
      <c r="L70" s="39">
        <v>0.98</v>
      </c>
      <c r="M70" s="39">
        <v>14.1</v>
      </c>
    </row>
    <row r="71" spans="1:13" x14ac:dyDescent="0.35">
      <c r="A71">
        <v>82</v>
      </c>
      <c r="B71">
        <v>2</v>
      </c>
      <c r="C71">
        <v>9</v>
      </c>
      <c r="D71" s="39">
        <v>1.7746900000000001</v>
      </c>
      <c r="E71" s="39">
        <v>94.058570000000003</v>
      </c>
      <c r="F71" s="39">
        <v>10.523999999999999</v>
      </c>
      <c r="G71" s="39">
        <v>23.93</v>
      </c>
      <c r="H71" s="39">
        <v>10.484999999999999</v>
      </c>
      <c r="I71" s="39">
        <v>4.3079999999999998</v>
      </c>
      <c r="J71" s="39">
        <v>3.01</v>
      </c>
      <c r="K71" s="39">
        <v>3.75</v>
      </c>
      <c r="L71" s="39">
        <v>0.92</v>
      </c>
      <c r="M71" s="39">
        <v>12.2</v>
      </c>
    </row>
    <row r="72" spans="1:13" x14ac:dyDescent="0.35">
      <c r="A72">
        <v>83</v>
      </c>
      <c r="B72">
        <v>3</v>
      </c>
      <c r="C72">
        <v>9</v>
      </c>
      <c r="D72" s="39">
        <v>1.2556800000000001</v>
      </c>
      <c r="E72" s="39">
        <v>51.482880000000009</v>
      </c>
      <c r="F72" s="39">
        <v>0.55000000000000004</v>
      </c>
      <c r="G72" s="39">
        <v>23.06</v>
      </c>
      <c r="H72" s="39">
        <v>10.569000000000001</v>
      </c>
      <c r="I72" s="39">
        <v>4.915</v>
      </c>
      <c r="J72" s="39">
        <v>2.794</v>
      </c>
      <c r="K72" s="39">
        <v>4.74</v>
      </c>
      <c r="L72" s="39">
        <v>0.81</v>
      </c>
      <c r="M72" s="39">
        <v>12.4</v>
      </c>
    </row>
    <row r="73" spans="1:13" x14ac:dyDescent="0.35">
      <c r="A73">
        <v>84</v>
      </c>
      <c r="B73">
        <v>9</v>
      </c>
      <c r="C73">
        <v>9</v>
      </c>
      <c r="D73" s="39">
        <v>1.2446900000000001</v>
      </c>
      <c r="E73" s="39">
        <v>64.723880000000008</v>
      </c>
      <c r="F73" s="39">
        <v>3.8600000000000003</v>
      </c>
      <c r="G73" s="39">
        <v>24.18</v>
      </c>
      <c r="H73" s="39">
        <v>10.836</v>
      </c>
      <c r="I73" s="39">
        <v>5.774</v>
      </c>
      <c r="J73" s="39">
        <v>2.7170000000000001</v>
      </c>
      <c r="K73" s="39">
        <v>1.72</v>
      </c>
      <c r="L73" s="39">
        <v>0.78</v>
      </c>
      <c r="M73" s="39">
        <v>14.4</v>
      </c>
    </row>
    <row r="74" spans="1:13" x14ac:dyDescent="0.35">
      <c r="A74">
        <v>85</v>
      </c>
      <c r="B74">
        <v>5</v>
      </c>
      <c r="C74">
        <v>9</v>
      </c>
      <c r="D74" s="39">
        <v>1.1915799999999999</v>
      </c>
      <c r="E74" s="39">
        <v>66.72847999999999</v>
      </c>
      <c r="F74" s="39">
        <v>8.9299600000000012</v>
      </c>
      <c r="G74" s="39">
        <v>25.48</v>
      </c>
      <c r="H74" s="39">
        <v>11.082000000000001</v>
      </c>
      <c r="I74" s="39">
        <v>5.2069999999999999</v>
      </c>
      <c r="J74" s="39">
        <v>2.8719999999999999</v>
      </c>
      <c r="K74" s="39">
        <v>3.61</v>
      </c>
      <c r="L74" s="39">
        <v>0.91</v>
      </c>
      <c r="M74" s="39">
        <v>12.6</v>
      </c>
    </row>
    <row r="75" spans="1:13" x14ac:dyDescent="0.35">
      <c r="A75">
        <v>86</v>
      </c>
      <c r="B75">
        <v>4</v>
      </c>
      <c r="C75">
        <v>9</v>
      </c>
      <c r="D75" s="39">
        <v>1.6521250000000001</v>
      </c>
      <c r="E75" s="39">
        <v>52.868000000000002</v>
      </c>
      <c r="F75" s="39">
        <v>0.45500000000000002</v>
      </c>
      <c r="G75" s="39">
        <v>25.72</v>
      </c>
      <c r="H75" s="39">
        <v>11.145</v>
      </c>
      <c r="I75" s="39">
        <v>5.6459999999999999</v>
      </c>
      <c r="J75" s="39">
        <v>2.8109999999999999</v>
      </c>
      <c r="K75" s="39">
        <v>5.64</v>
      </c>
      <c r="L75" s="39">
        <v>0.99</v>
      </c>
      <c r="M75" s="39">
        <v>13.9</v>
      </c>
    </row>
    <row r="76" spans="1:13" x14ac:dyDescent="0.35">
      <c r="A76">
        <v>87</v>
      </c>
      <c r="B76">
        <v>7</v>
      </c>
      <c r="C76">
        <v>9</v>
      </c>
      <c r="D76" s="39">
        <v>1.1135200000000001</v>
      </c>
      <c r="E76" s="39">
        <v>74.605840000000001</v>
      </c>
      <c r="F76" s="39">
        <v>3.9249799999999997</v>
      </c>
      <c r="G76" s="39">
        <v>22.8</v>
      </c>
      <c r="H76" s="39">
        <v>11.948</v>
      </c>
      <c r="I76" s="39">
        <v>6.3879999999999999</v>
      </c>
      <c r="J76" s="39">
        <v>2.7589999999999999</v>
      </c>
      <c r="K76" s="39">
        <v>4.7699999999999996</v>
      </c>
      <c r="L76" s="39">
        <v>1.2</v>
      </c>
      <c r="M76" s="39">
        <v>13</v>
      </c>
    </row>
    <row r="77" spans="1:13" x14ac:dyDescent="0.35">
      <c r="A77">
        <v>88</v>
      </c>
      <c r="B77">
        <v>1</v>
      </c>
      <c r="C77">
        <v>10</v>
      </c>
      <c r="D77" s="39">
        <v>1.1528800000000001</v>
      </c>
      <c r="E77" s="39">
        <v>49.573840000000004</v>
      </c>
      <c r="F77" s="39">
        <v>7.5989999999999993</v>
      </c>
      <c r="G77" s="39">
        <v>26.94</v>
      </c>
      <c r="H77" s="39">
        <v>8.8249999999999993</v>
      </c>
      <c r="I77" s="39">
        <v>4.0339999999999998</v>
      </c>
      <c r="J77" s="39">
        <v>2.6560000000000001</v>
      </c>
      <c r="K77" s="39">
        <v>4.8499999999999996</v>
      </c>
      <c r="L77" s="39">
        <v>0.9</v>
      </c>
      <c r="M77" s="39">
        <v>13</v>
      </c>
    </row>
    <row r="78" spans="1:13" x14ac:dyDescent="0.35">
      <c r="A78">
        <v>89</v>
      </c>
      <c r="B78">
        <v>9</v>
      </c>
      <c r="C78">
        <v>10</v>
      </c>
      <c r="D78" s="39">
        <v>1.0465799999999998</v>
      </c>
      <c r="E78" s="39">
        <v>65.934539999999984</v>
      </c>
      <c r="F78" s="39">
        <v>4.682970000000001</v>
      </c>
      <c r="G78" s="39">
        <v>22.16</v>
      </c>
      <c r="H78" s="39">
        <v>13.129</v>
      </c>
      <c r="I78" s="39">
        <v>7.7190000000000003</v>
      </c>
      <c r="J78" s="39">
        <v>5.5229999999999997</v>
      </c>
      <c r="K78" s="39">
        <v>8.02</v>
      </c>
      <c r="L78" s="39">
        <v>1.78</v>
      </c>
      <c r="M78" s="39">
        <v>12.9</v>
      </c>
    </row>
    <row r="79" spans="1:13" x14ac:dyDescent="0.35">
      <c r="A79">
        <v>90</v>
      </c>
      <c r="B79">
        <v>7</v>
      </c>
      <c r="C79">
        <v>10</v>
      </c>
      <c r="D79" s="39">
        <v>1.1502300000000001</v>
      </c>
      <c r="E79" s="39">
        <v>81.666330000000002</v>
      </c>
      <c r="F79" s="39">
        <v>15.20698</v>
      </c>
      <c r="G79" s="39">
        <v>22.24</v>
      </c>
      <c r="H79" s="39">
        <v>10.898</v>
      </c>
      <c r="I79" s="39">
        <v>4.7729999999999997</v>
      </c>
      <c r="J79" s="39">
        <v>2.9820000000000002</v>
      </c>
      <c r="K79" s="39">
        <v>4.32</v>
      </c>
      <c r="L79" s="39">
        <v>0.7</v>
      </c>
      <c r="M79" s="39">
        <v>13.1</v>
      </c>
    </row>
    <row r="80" spans="1:13" x14ac:dyDescent="0.35">
      <c r="A80">
        <v>91</v>
      </c>
      <c r="B80">
        <v>1</v>
      </c>
      <c r="C80">
        <v>10</v>
      </c>
      <c r="D80" s="39">
        <v>0.86070000000000002</v>
      </c>
      <c r="E80" s="39">
        <v>57.666899999999998</v>
      </c>
      <c r="F80" s="39">
        <v>5.2450000000000001</v>
      </c>
      <c r="G80" s="39">
        <v>21.83</v>
      </c>
      <c r="H80" s="39">
        <v>8.0879999999999992</v>
      </c>
      <c r="I80" s="39">
        <v>3.37</v>
      </c>
      <c r="J80" s="39">
        <v>2.5739999999999998</v>
      </c>
      <c r="K80" s="39">
        <v>4.03</v>
      </c>
      <c r="L80" s="39">
        <v>0.85</v>
      </c>
      <c r="M80" s="39">
        <v>14.8</v>
      </c>
    </row>
    <row r="81" spans="1:13" x14ac:dyDescent="0.35">
      <c r="A81">
        <v>92</v>
      </c>
      <c r="B81">
        <v>1</v>
      </c>
      <c r="C81">
        <v>10</v>
      </c>
      <c r="D81" s="39">
        <v>1.20404</v>
      </c>
      <c r="E81" s="39">
        <v>54.181800000000003</v>
      </c>
      <c r="F81" s="39">
        <v>6.4489999999999998</v>
      </c>
      <c r="G81" s="39">
        <v>19.13</v>
      </c>
      <c r="H81" s="39">
        <v>8.9930000000000003</v>
      </c>
      <c r="I81" s="39">
        <v>4.1459999999999999</v>
      </c>
      <c r="J81" s="39">
        <v>2.6549999999999998</v>
      </c>
      <c r="K81" s="39">
        <v>7.07</v>
      </c>
      <c r="L81" s="39">
        <v>1.31</v>
      </c>
      <c r="M81" s="39">
        <v>14.7</v>
      </c>
    </row>
    <row r="82" spans="1:13" x14ac:dyDescent="0.35">
      <c r="A82">
        <v>93</v>
      </c>
      <c r="B82">
        <v>5</v>
      </c>
      <c r="C82">
        <v>10</v>
      </c>
      <c r="D82" s="39">
        <v>1.2047000000000001</v>
      </c>
      <c r="E82" s="39">
        <v>60.235000000000007</v>
      </c>
      <c r="F82" s="39">
        <v>9.3730000000000011</v>
      </c>
      <c r="G82" s="39">
        <v>23.64</v>
      </c>
      <c r="H82" s="39">
        <v>11.06</v>
      </c>
      <c r="I82" s="39">
        <v>5.7350000000000003</v>
      </c>
      <c r="J82" s="39">
        <v>2.923</v>
      </c>
      <c r="K82" s="39">
        <v>4.0199999999999996</v>
      </c>
      <c r="L82" s="39">
        <v>1.49</v>
      </c>
      <c r="M82" s="39">
        <v>11.2</v>
      </c>
    </row>
    <row r="83" spans="1:13" x14ac:dyDescent="0.35">
      <c r="A83">
        <v>94</v>
      </c>
      <c r="B83">
        <v>1</v>
      </c>
      <c r="C83">
        <v>10</v>
      </c>
      <c r="D83" s="39">
        <v>1.2009300000000001</v>
      </c>
      <c r="E83" s="39">
        <v>56.443710000000003</v>
      </c>
      <c r="F83" s="39">
        <v>17.121960000000001</v>
      </c>
      <c r="G83" s="39">
        <v>24.24</v>
      </c>
      <c r="H83" s="39">
        <v>8.9710000000000001</v>
      </c>
      <c r="I83" s="39">
        <v>4.0659999999999998</v>
      </c>
      <c r="J83" s="39">
        <v>2.5019999999999998</v>
      </c>
      <c r="K83" s="39">
        <v>5.04</v>
      </c>
      <c r="L83" s="39">
        <v>1.1200000000000001</v>
      </c>
      <c r="M83" s="39">
        <v>15.3</v>
      </c>
    </row>
    <row r="84" spans="1:13" x14ac:dyDescent="0.35">
      <c r="A84">
        <v>95</v>
      </c>
      <c r="B84">
        <v>1</v>
      </c>
      <c r="C84">
        <v>10</v>
      </c>
      <c r="D84" s="39">
        <v>1.13754</v>
      </c>
      <c r="E84" s="39">
        <v>42.088979999999999</v>
      </c>
      <c r="F84" s="39">
        <v>12.524999999999999</v>
      </c>
      <c r="G84" s="39">
        <v>21.2</v>
      </c>
      <c r="H84" s="39">
        <v>9.6560000000000006</v>
      </c>
      <c r="I84" s="39">
        <v>4.7110000000000003</v>
      </c>
      <c r="J84" s="39">
        <v>2.5329999999999999</v>
      </c>
      <c r="K84" s="39">
        <v>3.75</v>
      </c>
      <c r="L84" s="39">
        <v>1.06</v>
      </c>
      <c r="M84" s="39">
        <v>13.9</v>
      </c>
    </row>
    <row r="85" spans="1:13" x14ac:dyDescent="0.35">
      <c r="A85">
        <v>96</v>
      </c>
      <c r="B85">
        <v>3</v>
      </c>
      <c r="C85">
        <v>10</v>
      </c>
      <c r="D85" s="39">
        <v>0.96160000000000001</v>
      </c>
      <c r="E85" s="39">
        <v>75.966400000000007</v>
      </c>
      <c r="F85" s="39">
        <v>19.121979999999997</v>
      </c>
      <c r="G85" s="39">
        <v>21.9</v>
      </c>
      <c r="H85" s="39">
        <v>9.7710000000000008</v>
      </c>
      <c r="I85" s="39">
        <v>4.2530000000000001</v>
      </c>
      <c r="J85" s="39">
        <v>2.6850000000000001</v>
      </c>
      <c r="K85" s="39">
        <v>3.85</v>
      </c>
      <c r="L85" s="39">
        <v>1.06</v>
      </c>
      <c r="M85" s="39">
        <v>12</v>
      </c>
    </row>
    <row r="86" spans="1:13" x14ac:dyDescent="0.35">
      <c r="A86">
        <v>97</v>
      </c>
      <c r="B86">
        <v>10</v>
      </c>
      <c r="C86">
        <v>10</v>
      </c>
      <c r="D86" s="39">
        <v>0.85315999999999992</v>
      </c>
      <c r="E86" s="39">
        <v>116.02975999999998</v>
      </c>
      <c r="F86" s="39">
        <v>6.4979999999999993</v>
      </c>
      <c r="G86" s="39">
        <v>18.399999999999999</v>
      </c>
      <c r="H86" s="39">
        <v>8.9220000000000006</v>
      </c>
      <c r="I86" s="39">
        <v>3.782</v>
      </c>
      <c r="J86" s="39">
        <v>2.6080000000000001</v>
      </c>
      <c r="K86" s="39">
        <v>4.38</v>
      </c>
      <c r="L86" s="39">
        <v>6.74</v>
      </c>
      <c r="M86" s="39">
        <v>12.82</v>
      </c>
    </row>
    <row r="87" spans="1:13" x14ac:dyDescent="0.35">
      <c r="A87">
        <v>98</v>
      </c>
      <c r="B87">
        <v>5</v>
      </c>
      <c r="C87">
        <v>10</v>
      </c>
      <c r="D87" s="39">
        <v>1.04898</v>
      </c>
      <c r="E87" s="39">
        <v>62.938800000000001</v>
      </c>
      <c r="F87" s="39">
        <v>5.7850000000000001</v>
      </c>
      <c r="G87" s="39">
        <v>21</v>
      </c>
      <c r="H87" s="39">
        <v>8.6</v>
      </c>
      <c r="I87" s="39">
        <v>3.7629999999999999</v>
      </c>
      <c r="J87" s="39">
        <v>2.5640000000000001</v>
      </c>
      <c r="K87" s="39">
        <v>4.2</v>
      </c>
      <c r="L87" s="39">
        <v>1.4</v>
      </c>
      <c r="M87" s="39">
        <v>13.7</v>
      </c>
    </row>
    <row r="88" spans="1:13" x14ac:dyDescent="0.35">
      <c r="A88">
        <v>99</v>
      </c>
      <c r="B88">
        <v>3</v>
      </c>
      <c r="C88">
        <v>10</v>
      </c>
      <c r="D88" s="39">
        <v>1.59067</v>
      </c>
      <c r="E88" s="39">
        <v>87.486850000000004</v>
      </c>
      <c r="F88" s="39">
        <v>7.5889999999999995</v>
      </c>
      <c r="G88" s="39">
        <v>21.85</v>
      </c>
      <c r="H88" s="39">
        <v>10.183999999999999</v>
      </c>
      <c r="I88" s="39">
        <v>4.7140000000000004</v>
      </c>
      <c r="J88" s="39">
        <v>2.8639999999999999</v>
      </c>
      <c r="K88" s="39">
        <v>3.1</v>
      </c>
      <c r="L88" s="39">
        <v>0.86</v>
      </c>
      <c r="M88" s="39">
        <v>12.2</v>
      </c>
    </row>
    <row r="89" spans="1:13" x14ac:dyDescent="0.35">
      <c r="A89">
        <v>100</v>
      </c>
      <c r="B89">
        <v>4</v>
      </c>
      <c r="C89">
        <v>10</v>
      </c>
      <c r="D89" s="39">
        <v>0.99127500000000002</v>
      </c>
      <c r="E89" s="39">
        <v>79.302000000000007</v>
      </c>
      <c r="F89" s="39">
        <v>11.645990000000001</v>
      </c>
      <c r="G89" s="39">
        <v>25.36</v>
      </c>
      <c r="H89" s="39">
        <v>10.513</v>
      </c>
      <c r="I89" s="39">
        <v>4.6479999999999997</v>
      </c>
      <c r="J89" s="39">
        <v>2.871</v>
      </c>
      <c r="K89" s="39">
        <v>2.75</v>
      </c>
      <c r="L89" s="39">
        <v>0.54</v>
      </c>
      <c r="M89" s="39">
        <v>14.3</v>
      </c>
    </row>
    <row r="90" spans="1:13" x14ac:dyDescent="0.35">
      <c r="A90">
        <v>101</v>
      </c>
      <c r="B90">
        <v>7</v>
      </c>
      <c r="C90">
        <v>10</v>
      </c>
      <c r="D90" s="39">
        <v>0.74324000000000001</v>
      </c>
      <c r="E90" s="39">
        <v>83.98612</v>
      </c>
      <c r="F90" s="39">
        <v>5.5399599999999998</v>
      </c>
      <c r="G90" s="39">
        <v>27.04</v>
      </c>
      <c r="H90" s="39">
        <v>9.8610000000000007</v>
      </c>
      <c r="I90" s="39">
        <v>4.4080000000000004</v>
      </c>
      <c r="J90" s="39">
        <v>2.7360000000000002</v>
      </c>
      <c r="K90" s="39">
        <v>2.88</v>
      </c>
      <c r="L90" s="39">
        <v>0.97</v>
      </c>
      <c r="M90" s="39">
        <v>13</v>
      </c>
    </row>
    <row r="91" spans="1:13" x14ac:dyDescent="0.35">
      <c r="A91">
        <v>102</v>
      </c>
      <c r="B91">
        <v>6</v>
      </c>
      <c r="C91">
        <v>10</v>
      </c>
      <c r="D91" s="39">
        <v>1.24851</v>
      </c>
      <c r="E91" s="39">
        <v>64.922520000000006</v>
      </c>
      <c r="F91" s="39">
        <v>10.048</v>
      </c>
      <c r="G91" s="39">
        <v>25.26</v>
      </c>
      <c r="H91" s="39">
        <v>10.039</v>
      </c>
      <c r="I91" s="39">
        <v>4.875</v>
      </c>
      <c r="J91" s="39">
        <v>2.6339999999999999</v>
      </c>
      <c r="K91" s="39">
        <v>4.71</v>
      </c>
      <c r="L91" s="39">
        <v>1.07</v>
      </c>
      <c r="M91" s="39">
        <v>13.6</v>
      </c>
    </row>
    <row r="92" spans="1:13" x14ac:dyDescent="0.35">
      <c r="A92">
        <v>103</v>
      </c>
      <c r="B92">
        <v>1</v>
      </c>
      <c r="C92">
        <v>2</v>
      </c>
      <c r="D92" s="39">
        <v>1.24444</v>
      </c>
      <c r="E92" s="39">
        <v>33.599879999999999</v>
      </c>
      <c r="F92" s="39">
        <v>4.2839799999999997</v>
      </c>
      <c r="G92" s="39">
        <v>23.48</v>
      </c>
      <c r="H92" s="39">
        <v>9.3569999999999993</v>
      </c>
      <c r="I92" s="39">
        <v>4.2539999999999996</v>
      </c>
      <c r="J92" s="39">
        <v>3.7840000000000003</v>
      </c>
      <c r="K92" s="39">
        <v>5.98</v>
      </c>
      <c r="L92" s="39">
        <v>1.18</v>
      </c>
      <c r="M92" s="39">
        <v>15</v>
      </c>
    </row>
    <row r="93" spans="1:13" x14ac:dyDescent="0.35">
      <c r="A93">
        <v>104</v>
      </c>
      <c r="B93">
        <v>7</v>
      </c>
      <c r="C93">
        <v>2</v>
      </c>
      <c r="D93" s="39">
        <v>1.29657</v>
      </c>
      <c r="E93" s="39">
        <v>73.904489999999996</v>
      </c>
      <c r="F93" s="39">
        <v>0.6</v>
      </c>
      <c r="G93" s="39">
        <v>25.72</v>
      </c>
      <c r="H93" s="39">
        <v>10.939</v>
      </c>
      <c r="I93" s="39">
        <v>5.75</v>
      </c>
      <c r="J93" s="39">
        <v>3.13</v>
      </c>
      <c r="K93" s="39">
        <v>6.71</v>
      </c>
      <c r="L93" s="39">
        <v>1.71</v>
      </c>
      <c r="M93" s="39">
        <v>13.1</v>
      </c>
    </row>
    <row r="94" spans="1:13" x14ac:dyDescent="0.35">
      <c r="A94">
        <v>105</v>
      </c>
      <c r="B94">
        <v>5</v>
      </c>
      <c r="C94">
        <v>2</v>
      </c>
      <c r="D94" s="39">
        <v>0.65259</v>
      </c>
      <c r="E94" s="39">
        <v>43.07094</v>
      </c>
      <c r="F94" s="39">
        <v>1.879</v>
      </c>
      <c r="G94" s="39">
        <v>20.58</v>
      </c>
      <c r="H94" s="39">
        <v>9.5259999999999998</v>
      </c>
      <c r="I94" s="39">
        <v>4.431</v>
      </c>
      <c r="J94" s="39">
        <v>2.5529999999999999</v>
      </c>
      <c r="K94" s="39">
        <v>4.2300000000000004</v>
      </c>
      <c r="L94" s="39">
        <v>1</v>
      </c>
      <c r="M94" s="39">
        <v>15.1</v>
      </c>
    </row>
    <row r="95" spans="1:13" x14ac:dyDescent="0.35">
      <c r="A95">
        <v>106</v>
      </c>
      <c r="B95">
        <v>3</v>
      </c>
      <c r="C95">
        <v>2</v>
      </c>
      <c r="D95" s="39">
        <v>0.99769000000000008</v>
      </c>
      <c r="E95" s="39">
        <v>32.923770000000005</v>
      </c>
      <c r="F95" s="39">
        <v>3.0390000000000001</v>
      </c>
      <c r="G95" s="39">
        <v>24.4</v>
      </c>
      <c r="H95" s="39">
        <v>10.440000000000001</v>
      </c>
      <c r="I95" s="39">
        <v>5.4180000000000001</v>
      </c>
      <c r="J95" s="39">
        <v>2.5019999999999998</v>
      </c>
      <c r="K95" s="39">
        <v>5.76</v>
      </c>
      <c r="L95" s="39">
        <v>1.1000000000000001</v>
      </c>
      <c r="M95" s="39">
        <v>14.6</v>
      </c>
    </row>
    <row r="96" spans="1:13" x14ac:dyDescent="0.35">
      <c r="A96">
        <v>107</v>
      </c>
      <c r="B96">
        <v>9</v>
      </c>
      <c r="C96">
        <v>2</v>
      </c>
      <c r="D96" s="39">
        <v>0.84610000000000007</v>
      </c>
      <c r="E96" s="39">
        <v>66.84190000000001</v>
      </c>
      <c r="F96" s="39">
        <v>6.3529999999999998</v>
      </c>
      <c r="G96" s="39">
        <v>19.96</v>
      </c>
      <c r="H96" s="39">
        <v>9.3209999999999997</v>
      </c>
      <c r="I96" s="39">
        <v>4.3170000000000002</v>
      </c>
      <c r="J96" s="39">
        <v>2.6890000000000001</v>
      </c>
      <c r="K96" s="39">
        <v>4.24</v>
      </c>
      <c r="L96" s="39">
        <v>0.83</v>
      </c>
      <c r="M96" s="39">
        <v>14.9</v>
      </c>
    </row>
    <row r="97" spans="1:13" x14ac:dyDescent="0.35">
      <c r="A97">
        <v>108</v>
      </c>
      <c r="B97">
        <v>8</v>
      </c>
      <c r="C97">
        <v>2</v>
      </c>
      <c r="D97" s="39">
        <v>1.41107</v>
      </c>
      <c r="E97" s="39">
        <v>39.50996</v>
      </c>
      <c r="F97" s="39">
        <v>5.8659999999999997</v>
      </c>
      <c r="G97" s="39">
        <v>27.68</v>
      </c>
      <c r="H97" s="39">
        <v>10.915000000000001</v>
      </c>
      <c r="I97" s="39">
        <v>5.1159999999999997</v>
      </c>
      <c r="J97" s="39">
        <v>3.1280000000000001</v>
      </c>
      <c r="K97" s="39">
        <v>5.1100000000000003</v>
      </c>
      <c r="L97" s="39">
        <v>1.19</v>
      </c>
      <c r="M97" s="39">
        <v>12.2</v>
      </c>
    </row>
    <row r="98" spans="1:13" x14ac:dyDescent="0.35">
      <c r="A98">
        <v>109</v>
      </c>
      <c r="B98">
        <v>5</v>
      </c>
      <c r="C98">
        <v>2</v>
      </c>
      <c r="D98" s="39">
        <v>0.96148</v>
      </c>
      <c r="E98" s="39">
        <v>39.420679999999997</v>
      </c>
      <c r="F98" s="39">
        <v>1.6789800000000001</v>
      </c>
      <c r="G98" s="39">
        <v>23.82</v>
      </c>
      <c r="H98" s="39">
        <v>8.9400000000000013</v>
      </c>
      <c r="I98" s="39">
        <v>3.9630000000000001</v>
      </c>
      <c r="J98" s="39">
        <v>2.6320000000000001</v>
      </c>
      <c r="K98" s="39">
        <v>3.88</v>
      </c>
      <c r="L98" s="39">
        <v>1.29</v>
      </c>
      <c r="M98" s="39">
        <v>13.4</v>
      </c>
    </row>
    <row r="99" spans="1:13" x14ac:dyDescent="0.35">
      <c r="A99">
        <v>110</v>
      </c>
      <c r="B99">
        <v>2</v>
      </c>
      <c r="C99">
        <v>2</v>
      </c>
      <c r="D99" s="39">
        <v>0.75344000000000011</v>
      </c>
      <c r="E99" s="39">
        <v>28.630720000000004</v>
      </c>
      <c r="F99" s="39">
        <v>1.7670000000000001</v>
      </c>
      <c r="G99" s="39">
        <v>21.36</v>
      </c>
      <c r="H99" s="39">
        <v>7.0489999999999995</v>
      </c>
      <c r="I99" s="39">
        <v>3.052</v>
      </c>
      <c r="J99" s="39">
        <v>2.08</v>
      </c>
      <c r="K99" s="39">
        <v>4.99</v>
      </c>
      <c r="L99" s="39">
        <v>1.89</v>
      </c>
      <c r="M99" s="39">
        <v>15</v>
      </c>
    </row>
    <row r="100" spans="1:13" x14ac:dyDescent="0.35">
      <c r="A100">
        <v>111</v>
      </c>
      <c r="B100">
        <v>4</v>
      </c>
      <c r="C100">
        <v>2</v>
      </c>
      <c r="D100" s="39">
        <v>1.1192200000000001</v>
      </c>
      <c r="E100" s="39">
        <v>54.841780000000007</v>
      </c>
      <c r="F100" s="39">
        <v>9.4579599999999999</v>
      </c>
      <c r="G100" s="39">
        <v>21.38</v>
      </c>
      <c r="H100" s="39">
        <v>10.229000000000001</v>
      </c>
      <c r="I100" s="39">
        <v>4.9649999999999999</v>
      </c>
      <c r="J100" s="39">
        <v>2.7069999999999999</v>
      </c>
      <c r="K100" s="39">
        <v>5.28</v>
      </c>
      <c r="L100" s="39">
        <v>1.45</v>
      </c>
      <c r="M100" s="39">
        <v>14</v>
      </c>
    </row>
    <row r="101" spans="1:13" x14ac:dyDescent="0.35">
      <c r="A101">
        <v>112</v>
      </c>
      <c r="B101">
        <v>9</v>
      </c>
      <c r="C101">
        <v>2</v>
      </c>
      <c r="D101" s="39">
        <v>1.2976800000000002</v>
      </c>
      <c r="E101" s="39">
        <v>58.395600000000009</v>
      </c>
      <c r="F101" s="39">
        <v>12.344750000000001</v>
      </c>
      <c r="G101" s="39">
        <v>23.6</v>
      </c>
      <c r="H101" s="39">
        <v>11.048999999999999</v>
      </c>
      <c r="I101" s="39">
        <v>5.5490000000000004</v>
      </c>
      <c r="J101" s="39">
        <v>3.214</v>
      </c>
      <c r="K101" s="39">
        <v>3.61</v>
      </c>
      <c r="L101" s="39">
        <v>0.64</v>
      </c>
      <c r="M101" s="39">
        <v>13</v>
      </c>
    </row>
    <row r="102" spans="1:13" x14ac:dyDescent="0.35">
      <c r="A102">
        <v>113</v>
      </c>
      <c r="B102">
        <v>8</v>
      </c>
      <c r="C102">
        <v>2</v>
      </c>
      <c r="D102" s="39">
        <v>1.43692</v>
      </c>
      <c r="E102" s="39">
        <v>38.796839999999996</v>
      </c>
      <c r="F102" s="39">
        <v>1.7899799999999999</v>
      </c>
      <c r="G102" s="39">
        <v>26.2</v>
      </c>
      <c r="H102" s="39">
        <v>11.059000000000001</v>
      </c>
      <c r="I102" s="39">
        <v>5.79</v>
      </c>
      <c r="J102" s="39">
        <v>3.88</v>
      </c>
      <c r="K102" s="39">
        <v>4.75</v>
      </c>
      <c r="L102" s="39">
        <v>1.31</v>
      </c>
      <c r="M102" s="39">
        <v>11.5</v>
      </c>
    </row>
    <row r="103" spans="1:13" x14ac:dyDescent="0.35">
      <c r="A103">
        <v>114</v>
      </c>
      <c r="B103">
        <v>1</v>
      </c>
      <c r="C103">
        <v>2</v>
      </c>
      <c r="D103" s="39">
        <v>0.8190599999999999</v>
      </c>
      <c r="E103" s="39">
        <v>39.314879999999995</v>
      </c>
      <c r="F103" s="39">
        <v>9.3249499999999994</v>
      </c>
      <c r="G103" s="39">
        <v>20.56</v>
      </c>
      <c r="H103" s="39">
        <v>7.4260000000000002</v>
      </c>
      <c r="I103" s="39">
        <v>3.121</v>
      </c>
      <c r="J103" s="39">
        <v>2.2429999999999999</v>
      </c>
      <c r="K103" s="39">
        <v>2.11</v>
      </c>
      <c r="L103" s="39">
        <v>0.7</v>
      </c>
      <c r="M103" s="39">
        <v>14.3</v>
      </c>
    </row>
    <row r="104" spans="1:13" x14ac:dyDescent="0.35">
      <c r="A104">
        <v>115</v>
      </c>
      <c r="B104">
        <v>6</v>
      </c>
      <c r="C104">
        <v>2</v>
      </c>
      <c r="D104" s="39">
        <v>1.02905</v>
      </c>
      <c r="E104" s="39">
        <v>58.655850000000001</v>
      </c>
      <c r="F104" s="39">
        <v>9.9536599999999993</v>
      </c>
      <c r="G104" s="39">
        <v>21.5</v>
      </c>
      <c r="H104" s="39">
        <v>8.7230000000000008</v>
      </c>
      <c r="I104" s="39">
        <v>3.5310000000000001</v>
      </c>
      <c r="J104" s="39">
        <v>2.758</v>
      </c>
      <c r="K104" s="39">
        <v>5.0999999999999996</v>
      </c>
      <c r="L104" s="39">
        <v>1.61</v>
      </c>
      <c r="M104" s="39">
        <v>14</v>
      </c>
    </row>
    <row r="105" spans="1:13" x14ac:dyDescent="0.35">
      <c r="A105">
        <v>116</v>
      </c>
      <c r="B105">
        <v>1</v>
      </c>
      <c r="C105">
        <v>2</v>
      </c>
      <c r="D105" s="39">
        <v>1.37473</v>
      </c>
      <c r="E105" s="39">
        <v>31.618790000000001</v>
      </c>
      <c r="F105" s="39">
        <v>7.7530000000000001</v>
      </c>
      <c r="G105" s="39">
        <v>23.95</v>
      </c>
      <c r="H105" s="39">
        <v>10.39</v>
      </c>
      <c r="I105" s="39">
        <v>6.351</v>
      </c>
      <c r="J105" s="39">
        <v>2.5140000000000002</v>
      </c>
      <c r="K105" s="39">
        <v>4.2300000000000004</v>
      </c>
      <c r="L105" s="39">
        <v>1.01</v>
      </c>
      <c r="M105" s="39">
        <v>13.8</v>
      </c>
    </row>
    <row r="106" spans="1:13" x14ac:dyDescent="0.35">
      <c r="A106">
        <v>117</v>
      </c>
      <c r="B106">
        <v>4</v>
      </c>
      <c r="C106">
        <v>2</v>
      </c>
      <c r="D106" s="39">
        <v>0.85253999999999996</v>
      </c>
      <c r="E106" s="39">
        <v>59.677799999999998</v>
      </c>
      <c r="F106" s="39">
        <v>7.1400000000000006</v>
      </c>
      <c r="G106" s="39">
        <v>20.12</v>
      </c>
      <c r="H106" s="39">
        <v>7.895999999999999</v>
      </c>
      <c r="I106" s="39">
        <v>3.3540000000000001</v>
      </c>
      <c r="J106" s="39">
        <v>2.3029999999999999</v>
      </c>
      <c r="K106" s="39">
        <v>3.95</v>
      </c>
      <c r="L106" s="39">
        <v>1.04</v>
      </c>
      <c r="M106" s="39">
        <v>12.5</v>
      </c>
    </row>
    <row r="107" spans="1:13" x14ac:dyDescent="0.35">
      <c r="A107">
        <v>118</v>
      </c>
      <c r="B107">
        <v>9</v>
      </c>
      <c r="C107">
        <v>4</v>
      </c>
      <c r="D107" s="39">
        <v>1.0996700000000001</v>
      </c>
      <c r="E107" s="39">
        <v>61.581520000000012</v>
      </c>
      <c r="F107" s="39">
        <v>11.38997</v>
      </c>
      <c r="G107" s="39">
        <v>23.72</v>
      </c>
      <c r="H107" s="39">
        <v>9.25</v>
      </c>
      <c r="I107" s="39">
        <v>4.1259999999999994</v>
      </c>
      <c r="J107" s="39">
        <v>2.4350000000000001</v>
      </c>
      <c r="K107" s="39">
        <v>4.28</v>
      </c>
      <c r="L107" s="39">
        <v>0.82</v>
      </c>
      <c r="M107" s="39">
        <v>15.6</v>
      </c>
    </row>
    <row r="108" spans="1:13" x14ac:dyDescent="0.35">
      <c r="A108">
        <v>119</v>
      </c>
      <c r="B108">
        <v>6</v>
      </c>
      <c r="C108">
        <v>4</v>
      </c>
      <c r="D108" s="39">
        <v>1.0519000000000001</v>
      </c>
      <c r="E108" s="39">
        <v>68.373500000000007</v>
      </c>
      <c r="F108" s="39">
        <v>6.3239899999999993</v>
      </c>
      <c r="G108" s="39">
        <v>22.22</v>
      </c>
      <c r="H108" s="39">
        <v>9.7189999999999994</v>
      </c>
      <c r="I108" s="39">
        <v>4.2629999999999999</v>
      </c>
      <c r="J108" s="39">
        <v>2.798</v>
      </c>
      <c r="K108" s="39">
        <v>6.21</v>
      </c>
      <c r="L108" s="39">
        <v>1.24</v>
      </c>
      <c r="M108" s="39">
        <v>14.4</v>
      </c>
    </row>
    <row r="109" spans="1:13" x14ac:dyDescent="0.35">
      <c r="A109">
        <v>120</v>
      </c>
      <c r="B109">
        <v>8</v>
      </c>
      <c r="C109">
        <v>4</v>
      </c>
      <c r="D109" s="39">
        <v>0.61962000000000006</v>
      </c>
      <c r="E109" s="39">
        <v>73.734780000000001</v>
      </c>
      <c r="F109" s="39">
        <v>5.7039200000000001</v>
      </c>
      <c r="G109" s="39">
        <v>18.3</v>
      </c>
      <c r="H109" s="39">
        <v>8.4670000000000005</v>
      </c>
      <c r="I109" s="39">
        <v>3.8619999999999997</v>
      </c>
      <c r="J109" s="39">
        <v>2.3809999999999998</v>
      </c>
      <c r="K109" s="39">
        <v>3.19</v>
      </c>
      <c r="L109" s="39">
        <v>0.92</v>
      </c>
      <c r="M109" s="39">
        <v>15.3</v>
      </c>
    </row>
    <row r="110" spans="1:13" x14ac:dyDescent="0.35">
      <c r="A110">
        <v>121</v>
      </c>
      <c r="B110">
        <v>10</v>
      </c>
      <c r="C110">
        <v>4</v>
      </c>
      <c r="D110" s="39">
        <v>0.89648000000000005</v>
      </c>
      <c r="E110" s="39">
        <v>78.890240000000006</v>
      </c>
      <c r="F110" s="39">
        <v>5.6770000000000005</v>
      </c>
      <c r="G110" s="39">
        <v>21.22</v>
      </c>
      <c r="H110" s="39">
        <v>9.2379999999999995</v>
      </c>
      <c r="I110" s="39">
        <v>4.3049999999999997</v>
      </c>
      <c r="J110" s="39">
        <v>2.407</v>
      </c>
      <c r="K110" s="39">
        <v>6.08</v>
      </c>
      <c r="L110" s="39">
        <v>1.29</v>
      </c>
      <c r="M110" s="39">
        <v>12.5</v>
      </c>
    </row>
    <row r="111" spans="1:13" x14ac:dyDescent="0.35">
      <c r="A111">
        <v>122</v>
      </c>
      <c r="B111">
        <v>6</v>
      </c>
      <c r="C111">
        <v>4</v>
      </c>
      <c r="D111" s="39">
        <v>0.97245000000000004</v>
      </c>
      <c r="E111" s="39">
        <v>79.740899999999996</v>
      </c>
      <c r="F111" s="39">
        <v>2.7549999999999999</v>
      </c>
      <c r="G111" s="39">
        <v>24.08</v>
      </c>
      <c r="H111" s="39">
        <v>10.295</v>
      </c>
      <c r="I111" s="39">
        <v>5.2189999999999994</v>
      </c>
      <c r="J111" s="39">
        <v>3.681</v>
      </c>
      <c r="K111" s="39">
        <v>3.55</v>
      </c>
      <c r="L111" s="39">
        <v>0.8</v>
      </c>
      <c r="M111" s="39">
        <v>13.9</v>
      </c>
    </row>
    <row r="112" spans="1:13" x14ac:dyDescent="0.35">
      <c r="A112">
        <v>123</v>
      </c>
      <c r="B112">
        <v>2</v>
      </c>
      <c r="C112">
        <v>4</v>
      </c>
      <c r="D112" s="39">
        <v>1.0590899999999999</v>
      </c>
      <c r="E112" s="39">
        <v>54.013589999999994</v>
      </c>
      <c r="F112" s="39">
        <v>4.6769999999999996</v>
      </c>
      <c r="G112" s="39">
        <v>22.98</v>
      </c>
      <c r="H112" s="39">
        <v>10.48</v>
      </c>
      <c r="I112" s="39">
        <v>5.3890000000000002</v>
      </c>
      <c r="J112" s="39">
        <v>2.6550000000000002</v>
      </c>
      <c r="K112" s="39">
        <v>3.54</v>
      </c>
      <c r="L112" s="39">
        <v>0.6</v>
      </c>
      <c r="M112" s="39">
        <v>13.5</v>
      </c>
    </row>
    <row r="113" spans="1:13" x14ac:dyDescent="0.35">
      <c r="A113">
        <v>124</v>
      </c>
      <c r="B113">
        <v>1</v>
      </c>
      <c r="C113">
        <v>4</v>
      </c>
      <c r="D113" s="39">
        <v>0.81967000000000001</v>
      </c>
      <c r="E113" s="39">
        <v>32.786799999999999</v>
      </c>
      <c r="F113" s="39">
        <v>2.97098</v>
      </c>
      <c r="G113" s="39">
        <v>19.62</v>
      </c>
      <c r="H113" s="39">
        <v>9.2050000000000001</v>
      </c>
      <c r="I113" s="39">
        <v>4.7960000000000003</v>
      </c>
      <c r="J113" s="39">
        <v>2.2839999999999998</v>
      </c>
      <c r="K113" s="39">
        <v>3.59</v>
      </c>
      <c r="L113" s="39">
        <v>1.1299999999999999</v>
      </c>
      <c r="M113" s="39">
        <v>15.9</v>
      </c>
    </row>
    <row r="114" spans="1:13" x14ac:dyDescent="0.35">
      <c r="A114">
        <v>125</v>
      </c>
      <c r="B114">
        <v>7</v>
      </c>
      <c r="C114">
        <v>4</v>
      </c>
      <c r="D114" s="39">
        <v>1.0914999999999999</v>
      </c>
      <c r="E114" s="39">
        <v>55.666499999999999</v>
      </c>
      <c r="F114" s="39">
        <v>2.19299</v>
      </c>
      <c r="G114" s="39">
        <v>23.36</v>
      </c>
      <c r="H114" s="39">
        <v>10.602</v>
      </c>
      <c r="I114" s="39">
        <v>4.798</v>
      </c>
      <c r="J114" s="39">
        <v>2.984</v>
      </c>
      <c r="K114" s="39">
        <v>4.24</v>
      </c>
      <c r="L114" s="39">
        <v>0.84</v>
      </c>
      <c r="M114" s="39">
        <v>14.3</v>
      </c>
    </row>
    <row r="115" spans="1:13" x14ac:dyDescent="0.35">
      <c r="A115">
        <v>126</v>
      </c>
      <c r="B115">
        <v>6</v>
      </c>
      <c r="C115">
        <v>4</v>
      </c>
      <c r="D115" s="39">
        <v>0.94701000000000002</v>
      </c>
      <c r="E115" s="39">
        <v>49.244520000000001</v>
      </c>
      <c r="F115" s="39">
        <v>4.6799699999999991</v>
      </c>
      <c r="G115" s="39">
        <v>21.43</v>
      </c>
      <c r="H115" s="39">
        <v>9.25</v>
      </c>
      <c r="I115" s="39">
        <v>4.7810000000000006</v>
      </c>
      <c r="J115" s="39">
        <v>2.8380000000000001</v>
      </c>
      <c r="K115" s="39">
        <v>4.6500000000000004</v>
      </c>
      <c r="L115" s="39">
        <v>1.39</v>
      </c>
      <c r="M115" s="39">
        <v>13.2</v>
      </c>
    </row>
    <row r="116" spans="1:13" x14ac:dyDescent="0.35">
      <c r="A116">
        <v>127</v>
      </c>
      <c r="B116">
        <v>5</v>
      </c>
      <c r="C116">
        <v>4</v>
      </c>
      <c r="D116" s="39">
        <v>1.0373699999999999</v>
      </c>
      <c r="E116" s="39">
        <v>60.167459999999991</v>
      </c>
      <c r="F116" s="39">
        <v>4.8029799999999998</v>
      </c>
      <c r="G116" s="39">
        <v>21.8</v>
      </c>
      <c r="H116" s="39">
        <v>9.1669999999999998</v>
      </c>
      <c r="I116" s="39">
        <v>3.589</v>
      </c>
      <c r="J116" s="39">
        <v>2.681</v>
      </c>
      <c r="K116" s="39">
        <v>3.66</v>
      </c>
      <c r="L116" s="39">
        <v>1</v>
      </c>
      <c r="M116" s="39">
        <v>13.4</v>
      </c>
    </row>
    <row r="117" spans="1:13" x14ac:dyDescent="0.35">
      <c r="A117">
        <v>128</v>
      </c>
      <c r="B117">
        <v>6</v>
      </c>
      <c r="C117">
        <v>4</v>
      </c>
      <c r="D117" s="39">
        <v>1.1757299999999999</v>
      </c>
      <c r="E117" s="39">
        <v>62.313689999999994</v>
      </c>
      <c r="F117" s="39">
        <v>14.084990000000001</v>
      </c>
      <c r="G117" s="39">
        <v>26.4</v>
      </c>
      <c r="H117" s="39">
        <v>9.8810000000000002</v>
      </c>
      <c r="I117" s="39">
        <v>5.024</v>
      </c>
      <c r="J117" s="39">
        <v>2.5260000000000002</v>
      </c>
      <c r="K117" s="39">
        <v>4.83</v>
      </c>
      <c r="L117" s="39">
        <v>1.01</v>
      </c>
      <c r="M117" s="39">
        <v>13.6</v>
      </c>
    </row>
    <row r="118" spans="1:13" x14ac:dyDescent="0.35">
      <c r="A118">
        <v>129</v>
      </c>
      <c r="B118">
        <v>3</v>
      </c>
      <c r="C118">
        <v>4</v>
      </c>
      <c r="D118" s="39">
        <v>0.69965999999999995</v>
      </c>
      <c r="E118" s="39">
        <v>48.276539999999997</v>
      </c>
      <c r="F118" s="39">
        <v>2.6399799999999995</v>
      </c>
      <c r="G118" s="39">
        <v>20.28</v>
      </c>
      <c r="H118" s="39">
        <v>9.6359999999999992</v>
      </c>
      <c r="I118" s="39">
        <v>4.5020000000000007</v>
      </c>
      <c r="J118" s="39">
        <v>2.6139999999999999</v>
      </c>
      <c r="K118" s="39">
        <v>4.75</v>
      </c>
      <c r="L118" s="39">
        <v>1.29</v>
      </c>
      <c r="M118" s="39">
        <v>15.3</v>
      </c>
    </row>
    <row r="119" spans="1:13" x14ac:dyDescent="0.35">
      <c r="A119">
        <v>130</v>
      </c>
      <c r="B119">
        <v>5</v>
      </c>
      <c r="C119">
        <v>4</v>
      </c>
      <c r="D119" s="39">
        <v>0.98720000000000008</v>
      </c>
      <c r="E119" s="39">
        <v>53.308800000000005</v>
      </c>
      <c r="F119" s="39">
        <v>2.1689800000000004</v>
      </c>
      <c r="G119" s="39">
        <v>25.06</v>
      </c>
      <c r="H119" s="39">
        <v>10.09</v>
      </c>
      <c r="I119" s="39">
        <v>4.556</v>
      </c>
      <c r="J119" s="39">
        <v>2.6819999999999999</v>
      </c>
      <c r="K119" s="39">
        <v>4.16</v>
      </c>
      <c r="L119" s="39">
        <v>0.96</v>
      </c>
      <c r="M119" s="39">
        <v>13.7</v>
      </c>
    </row>
    <row r="120" spans="1:13" x14ac:dyDescent="0.35">
      <c r="A120">
        <v>131</v>
      </c>
      <c r="B120">
        <v>3</v>
      </c>
      <c r="C120">
        <v>4</v>
      </c>
      <c r="D120" s="39">
        <v>1.0641800000000001</v>
      </c>
      <c r="E120" s="39">
        <v>40.438840000000006</v>
      </c>
      <c r="F120" s="39">
        <v>2.3829899999999999</v>
      </c>
      <c r="G120" s="39">
        <v>23.46</v>
      </c>
      <c r="H120" s="39">
        <v>9.4420000000000002</v>
      </c>
      <c r="I120" s="39">
        <v>3.7119999999999997</v>
      </c>
      <c r="J120" s="39">
        <v>3.028</v>
      </c>
      <c r="K120" s="39">
        <v>4.22</v>
      </c>
      <c r="L120" s="39">
        <v>1.02</v>
      </c>
      <c r="M120" s="39">
        <v>13.6</v>
      </c>
    </row>
    <row r="121" spans="1:13" x14ac:dyDescent="0.35">
      <c r="A121">
        <v>132</v>
      </c>
      <c r="B121">
        <v>1</v>
      </c>
      <c r="C121">
        <v>4</v>
      </c>
      <c r="D121" s="39">
        <v>0.78795999999999999</v>
      </c>
      <c r="E121" s="39">
        <v>25.21472</v>
      </c>
      <c r="F121" s="39">
        <v>1.0349999999999999</v>
      </c>
      <c r="G121" s="39">
        <v>22.38</v>
      </c>
      <c r="H121" s="39">
        <v>8.0609999999999999</v>
      </c>
      <c r="I121" s="39">
        <v>3.7329999999999997</v>
      </c>
      <c r="J121" s="39">
        <v>2.609</v>
      </c>
      <c r="K121" s="39">
        <v>3.13</v>
      </c>
      <c r="L121" s="39">
        <v>0.84</v>
      </c>
      <c r="M121" s="39">
        <v>14.7</v>
      </c>
    </row>
    <row r="122" spans="1:13" x14ac:dyDescent="0.35">
      <c r="A122">
        <v>133</v>
      </c>
      <c r="B122">
        <v>5</v>
      </c>
      <c r="C122">
        <v>6</v>
      </c>
      <c r="D122" s="39">
        <v>1.24776</v>
      </c>
      <c r="E122" s="39">
        <v>112.2984</v>
      </c>
      <c r="F122" s="39">
        <v>9.5090000000000003</v>
      </c>
      <c r="G122" s="39">
        <v>24.1</v>
      </c>
      <c r="H122" s="39">
        <v>10.917</v>
      </c>
      <c r="I122" s="39">
        <v>5.0600000000000005</v>
      </c>
      <c r="J122" s="39">
        <v>2.806</v>
      </c>
      <c r="K122" s="39">
        <v>2.94</v>
      </c>
      <c r="L122" s="39">
        <v>0.6</v>
      </c>
      <c r="M122" s="39">
        <v>13</v>
      </c>
    </row>
    <row r="123" spans="1:13" x14ac:dyDescent="0.35">
      <c r="A123">
        <v>134</v>
      </c>
      <c r="B123">
        <v>5</v>
      </c>
      <c r="C123">
        <v>6</v>
      </c>
      <c r="D123" s="39">
        <v>1.1695</v>
      </c>
      <c r="E123" s="39">
        <v>99.407499999999999</v>
      </c>
      <c r="F123" s="39">
        <v>6.2190000000000003</v>
      </c>
      <c r="G123" s="39">
        <v>22.78</v>
      </c>
      <c r="H123" s="39">
        <v>9.8840000000000003</v>
      </c>
      <c r="I123" s="39">
        <v>3.7509999999999999</v>
      </c>
      <c r="J123" s="39">
        <v>2.9510000000000001</v>
      </c>
      <c r="K123" s="39">
        <v>3.59</v>
      </c>
      <c r="L123" s="39">
        <v>1.1100000000000001</v>
      </c>
      <c r="M123" s="39">
        <v>12.5</v>
      </c>
    </row>
    <row r="124" spans="1:13" x14ac:dyDescent="0.35">
      <c r="A124">
        <v>135</v>
      </c>
      <c r="B124">
        <v>3</v>
      </c>
      <c r="C124">
        <v>6</v>
      </c>
      <c r="D124" s="39">
        <v>1.4341900000000001</v>
      </c>
      <c r="E124" s="39">
        <v>87.485590000000002</v>
      </c>
      <c r="F124" s="39">
        <v>5.9480000000000004</v>
      </c>
      <c r="G124" s="39">
        <v>27.2</v>
      </c>
      <c r="H124" s="39">
        <v>11.686</v>
      </c>
      <c r="I124" s="39">
        <v>5.8810000000000002</v>
      </c>
      <c r="J124" s="39">
        <v>2.7949999999999999</v>
      </c>
      <c r="K124" s="39">
        <v>3.3</v>
      </c>
      <c r="L124" s="39">
        <v>1.1399999999999999</v>
      </c>
      <c r="M124" s="39">
        <v>13.1</v>
      </c>
    </row>
    <row r="125" spans="1:13" x14ac:dyDescent="0.35">
      <c r="A125">
        <v>136</v>
      </c>
      <c r="B125">
        <v>6</v>
      </c>
      <c r="C125">
        <v>6</v>
      </c>
      <c r="D125" s="39">
        <v>1.5687500000000001</v>
      </c>
      <c r="E125" s="39">
        <v>70.59375</v>
      </c>
      <c r="F125" s="39">
        <v>9.1709999999999994</v>
      </c>
      <c r="G125" s="39">
        <v>26.27</v>
      </c>
      <c r="H125" s="39">
        <v>9.7050000000000001</v>
      </c>
      <c r="I125" s="39">
        <v>4.8070000000000004</v>
      </c>
      <c r="J125" s="39">
        <v>2.6429999999999998</v>
      </c>
      <c r="K125" s="39">
        <v>4.0999999999999996</v>
      </c>
      <c r="L125" s="39">
        <v>1.08</v>
      </c>
      <c r="M125" s="39">
        <v>12.9</v>
      </c>
    </row>
    <row r="126" spans="1:13" x14ac:dyDescent="0.35">
      <c r="A126">
        <v>137</v>
      </c>
      <c r="B126">
        <v>5</v>
      </c>
      <c r="C126">
        <v>6</v>
      </c>
      <c r="D126" s="39">
        <v>1.62873</v>
      </c>
      <c r="E126" s="39">
        <v>55.376820000000002</v>
      </c>
      <c r="F126" s="39">
        <v>11.525980000000001</v>
      </c>
      <c r="G126" s="39">
        <v>27.1</v>
      </c>
      <c r="H126" s="39">
        <v>10.872</v>
      </c>
      <c r="I126" s="39">
        <v>4.9009999999999998</v>
      </c>
      <c r="J126" s="39">
        <v>2.903</v>
      </c>
      <c r="K126" s="39">
        <v>4.72</v>
      </c>
      <c r="L126" s="39">
        <v>1.1299999999999999</v>
      </c>
      <c r="M126" s="39">
        <v>12.4</v>
      </c>
    </row>
    <row r="127" spans="1:13" x14ac:dyDescent="0.35">
      <c r="A127">
        <v>138</v>
      </c>
      <c r="B127">
        <v>4</v>
      </c>
      <c r="C127">
        <v>6</v>
      </c>
      <c r="D127" s="39">
        <v>1.7372700000000001</v>
      </c>
      <c r="E127" s="39">
        <v>121.60890000000001</v>
      </c>
      <c r="F127" s="39">
        <v>8.8010000000000002</v>
      </c>
      <c r="G127" s="39">
        <v>26.28</v>
      </c>
      <c r="H127" s="39">
        <v>11.574</v>
      </c>
      <c r="I127" s="39">
        <v>5.1520000000000001</v>
      </c>
      <c r="J127" s="39">
        <v>3.3609999999999998</v>
      </c>
      <c r="K127" s="39">
        <v>6.09</v>
      </c>
      <c r="L127" s="39">
        <v>1.29</v>
      </c>
      <c r="M127" s="39">
        <v>12.1</v>
      </c>
    </row>
    <row r="128" spans="1:13" x14ac:dyDescent="0.35">
      <c r="A128" s="1" t="s">
        <v>10</v>
      </c>
      <c r="B128">
        <v>1</v>
      </c>
      <c r="C128">
        <v>6</v>
      </c>
      <c r="D128" s="39">
        <v>1.1310899999999999</v>
      </c>
      <c r="E128" s="39">
        <v>46.374689999999994</v>
      </c>
      <c r="F128" s="39">
        <v>6.0220000000000002</v>
      </c>
      <c r="G128" s="39">
        <v>23.28</v>
      </c>
      <c r="H128" s="39">
        <v>9.1329999999999991</v>
      </c>
      <c r="I128" s="39">
        <v>3.851</v>
      </c>
      <c r="J128" s="39">
        <v>2.6670000000000003</v>
      </c>
      <c r="K128" s="39">
        <v>6.18</v>
      </c>
      <c r="L128" s="39">
        <v>1.41</v>
      </c>
      <c r="M128" s="39">
        <v>14.3</v>
      </c>
    </row>
    <row r="129" spans="1:13" x14ac:dyDescent="0.35">
      <c r="A129">
        <v>139</v>
      </c>
      <c r="B129">
        <v>1</v>
      </c>
      <c r="C129">
        <v>6</v>
      </c>
      <c r="D129" s="39">
        <v>1.1755</v>
      </c>
      <c r="E129" s="39">
        <v>32.914000000000001</v>
      </c>
      <c r="F129" s="39">
        <v>8.9220000000000006</v>
      </c>
      <c r="G129" s="39">
        <v>27.8</v>
      </c>
      <c r="H129" s="39">
        <v>11.7</v>
      </c>
      <c r="I129" s="39">
        <v>5.8860000000000001</v>
      </c>
      <c r="J129" s="39">
        <v>2.9449999999999998</v>
      </c>
      <c r="K129" s="39">
        <v>4.37</v>
      </c>
      <c r="L129" s="39">
        <v>1.19</v>
      </c>
      <c r="M129" s="39">
        <v>13.36</v>
      </c>
    </row>
    <row r="130" spans="1:13" x14ac:dyDescent="0.35">
      <c r="A130">
        <v>140</v>
      </c>
      <c r="B130">
        <v>10</v>
      </c>
      <c r="C130">
        <v>6</v>
      </c>
      <c r="D130" s="39">
        <v>1.8055999999999999</v>
      </c>
      <c r="E130" s="39">
        <v>81.251999999999995</v>
      </c>
      <c r="F130" s="39">
        <v>8.1180000000000003</v>
      </c>
      <c r="G130" s="39">
        <v>28.32</v>
      </c>
      <c r="H130" s="39">
        <v>9.8379999999999992</v>
      </c>
      <c r="I130" s="39">
        <v>4.274</v>
      </c>
      <c r="J130" s="39">
        <v>3.052</v>
      </c>
      <c r="K130" s="39">
        <v>6.82</v>
      </c>
      <c r="L130" s="39">
        <v>1.3</v>
      </c>
      <c r="M130" s="39">
        <v>13.6</v>
      </c>
    </row>
    <row r="131" spans="1:13" x14ac:dyDescent="0.35">
      <c r="A131">
        <v>141</v>
      </c>
      <c r="B131">
        <v>6</v>
      </c>
      <c r="C131">
        <v>6</v>
      </c>
      <c r="D131" s="39">
        <v>1.2562599999999999</v>
      </c>
      <c r="E131" s="39">
        <v>32.662759999999999</v>
      </c>
      <c r="F131" s="39">
        <v>4.3049999999999997</v>
      </c>
      <c r="G131" s="39">
        <v>21.26</v>
      </c>
      <c r="H131" s="39">
        <v>8.3450000000000006</v>
      </c>
      <c r="I131" s="39">
        <v>3.9090000000000003</v>
      </c>
      <c r="J131" s="39">
        <v>2.512</v>
      </c>
      <c r="K131" s="39">
        <v>3.68</v>
      </c>
      <c r="L131" s="39">
        <v>1.0900000000000001</v>
      </c>
      <c r="M131" s="39">
        <v>12.8</v>
      </c>
    </row>
    <row r="132" spans="1:13" x14ac:dyDescent="0.35">
      <c r="A132">
        <v>142</v>
      </c>
      <c r="B132">
        <v>8</v>
      </c>
      <c r="C132">
        <v>6</v>
      </c>
      <c r="D132" s="39">
        <v>1.13375</v>
      </c>
      <c r="E132" s="39">
        <v>58.954999999999998</v>
      </c>
      <c r="F132" s="39">
        <v>4.9850000000000003</v>
      </c>
      <c r="G132" s="39">
        <v>26.96</v>
      </c>
      <c r="H132" s="39">
        <v>10.074999999999999</v>
      </c>
      <c r="I132" s="39">
        <v>4.8529999999999998</v>
      </c>
      <c r="J132" s="39">
        <v>2.875</v>
      </c>
      <c r="K132" s="39">
        <v>5.25</v>
      </c>
      <c r="L132" s="39">
        <v>1.23</v>
      </c>
      <c r="M132" s="39">
        <v>14.36</v>
      </c>
    </row>
    <row r="133" spans="1:13" x14ac:dyDescent="0.35">
      <c r="A133">
        <v>143</v>
      </c>
      <c r="B133">
        <v>8</v>
      </c>
      <c r="C133">
        <v>6</v>
      </c>
      <c r="D133" s="39">
        <v>1.27003</v>
      </c>
      <c r="E133" s="39">
        <v>72.391710000000003</v>
      </c>
      <c r="F133" s="39">
        <v>11.945360000000001</v>
      </c>
      <c r="G133" s="39">
        <v>28.53</v>
      </c>
      <c r="H133" s="39">
        <v>11.148</v>
      </c>
      <c r="I133" s="39">
        <v>4.9670000000000005</v>
      </c>
      <c r="J133" s="39">
        <v>2.8620000000000001</v>
      </c>
      <c r="K133" s="39">
        <v>4.3499999999999996</v>
      </c>
      <c r="L133" s="39">
        <v>1.47</v>
      </c>
      <c r="M133" s="39">
        <v>11.2</v>
      </c>
    </row>
    <row r="134" spans="1:13" x14ac:dyDescent="0.35">
      <c r="A134">
        <v>144</v>
      </c>
      <c r="B134">
        <v>9</v>
      </c>
      <c r="C134">
        <v>6</v>
      </c>
      <c r="D134" s="39">
        <v>1.47092</v>
      </c>
      <c r="E134" s="39">
        <v>41.185760000000002</v>
      </c>
      <c r="F134" s="39">
        <v>3.3479999999999999</v>
      </c>
      <c r="G134" s="39">
        <v>27.32</v>
      </c>
      <c r="H134" s="39">
        <v>9.7110000000000003</v>
      </c>
      <c r="I134" s="39">
        <v>4.5679999999999996</v>
      </c>
      <c r="J134" s="39">
        <v>2.7370000000000001</v>
      </c>
      <c r="K134" s="39">
        <v>4.29</v>
      </c>
      <c r="L134" s="39">
        <v>3.01</v>
      </c>
      <c r="M134" s="39">
        <v>14</v>
      </c>
    </row>
    <row r="135" spans="1:13" x14ac:dyDescent="0.35">
      <c r="A135">
        <v>146</v>
      </c>
      <c r="B135">
        <v>10</v>
      </c>
      <c r="C135">
        <v>6</v>
      </c>
      <c r="D135" s="39">
        <v>1.48092</v>
      </c>
      <c r="E135" s="39">
        <v>57.755879999999998</v>
      </c>
      <c r="F135" s="39">
        <v>0.46500000000000002</v>
      </c>
      <c r="G135" s="39">
        <v>22.92</v>
      </c>
      <c r="H135" s="39">
        <v>9.9550000000000001</v>
      </c>
      <c r="I135" s="39">
        <v>4.415</v>
      </c>
      <c r="J135" s="39">
        <v>2.77</v>
      </c>
      <c r="K135" s="39">
        <v>4.3099999999999996</v>
      </c>
      <c r="L135" s="39">
        <v>1.31</v>
      </c>
      <c r="M135" s="39">
        <v>14.1</v>
      </c>
    </row>
    <row r="136" spans="1:13" x14ac:dyDescent="0.35">
      <c r="A136">
        <v>147</v>
      </c>
      <c r="B136">
        <v>9</v>
      </c>
      <c r="C136">
        <v>6</v>
      </c>
      <c r="D136" s="39">
        <v>1.1801600000000001</v>
      </c>
      <c r="E136" s="39">
        <v>59.008000000000003</v>
      </c>
      <c r="F136" s="39">
        <v>5.3349799999999998</v>
      </c>
      <c r="G136" s="39">
        <v>25.44</v>
      </c>
      <c r="H136" s="39">
        <v>9.7099999999999991</v>
      </c>
      <c r="I136" s="39">
        <v>4.59</v>
      </c>
      <c r="J136" s="39">
        <v>2.5469999999999997</v>
      </c>
      <c r="K136" s="39">
        <v>4.22</v>
      </c>
      <c r="L136" s="39">
        <v>0.92</v>
      </c>
      <c r="M136" s="39">
        <v>11.8</v>
      </c>
    </row>
    <row r="137" spans="1:13" x14ac:dyDescent="0.35">
      <c r="A137">
        <v>148</v>
      </c>
      <c r="B137">
        <v>5</v>
      </c>
      <c r="C137">
        <v>7</v>
      </c>
      <c r="D137" s="39">
        <v>1.2327699999999999</v>
      </c>
      <c r="E137" s="39">
        <v>75.198969999999989</v>
      </c>
      <c r="F137" s="39">
        <v>6.9139800000000005</v>
      </c>
      <c r="G137" s="39">
        <v>21.78</v>
      </c>
      <c r="H137" s="39">
        <v>9.6470000000000002</v>
      </c>
      <c r="I137" s="39">
        <v>4.3460000000000001</v>
      </c>
      <c r="J137" s="39">
        <v>2.637</v>
      </c>
      <c r="K137" s="39">
        <v>4.04</v>
      </c>
      <c r="L137" s="39">
        <v>1.26</v>
      </c>
      <c r="M137" s="39">
        <v>13.2</v>
      </c>
    </row>
    <row r="138" spans="1:13" x14ac:dyDescent="0.35">
      <c r="A138">
        <v>149</v>
      </c>
      <c r="B138">
        <v>8</v>
      </c>
      <c r="C138">
        <v>7</v>
      </c>
      <c r="D138" s="39">
        <v>1.2274</v>
      </c>
      <c r="E138" s="39">
        <v>42.959000000000003</v>
      </c>
      <c r="F138" s="39">
        <v>5.5449800000000007</v>
      </c>
      <c r="G138" s="39">
        <v>27.58</v>
      </c>
      <c r="H138" s="39">
        <v>10.571</v>
      </c>
      <c r="I138" s="39">
        <v>4.2779999999999996</v>
      </c>
      <c r="J138" s="39">
        <v>3.379</v>
      </c>
      <c r="K138" s="39">
        <v>4.0599999999999996</v>
      </c>
      <c r="L138" s="39">
        <v>1.07</v>
      </c>
      <c r="M138" s="39">
        <v>14.5</v>
      </c>
    </row>
    <row r="139" spans="1:13" x14ac:dyDescent="0.35">
      <c r="A139">
        <v>150</v>
      </c>
      <c r="B139">
        <v>8</v>
      </c>
      <c r="C139">
        <v>7</v>
      </c>
      <c r="D139" s="39">
        <v>1.9430799999999999</v>
      </c>
      <c r="E139" s="39">
        <v>95.210920000000002</v>
      </c>
      <c r="F139" s="39">
        <v>4.0510000000000002</v>
      </c>
      <c r="G139" s="39">
        <v>25.7</v>
      </c>
      <c r="H139" s="39">
        <v>11.728</v>
      </c>
      <c r="I139" s="39">
        <v>5.4059999999999997</v>
      </c>
      <c r="J139" s="39">
        <v>2.8370000000000002</v>
      </c>
      <c r="K139" s="39">
        <v>2.93</v>
      </c>
      <c r="L139" s="39">
        <v>1.06</v>
      </c>
      <c r="M139" s="39">
        <v>13.6</v>
      </c>
    </row>
    <row r="140" spans="1:13" x14ac:dyDescent="0.35">
      <c r="A140">
        <v>151</v>
      </c>
      <c r="B140">
        <v>10</v>
      </c>
      <c r="C140">
        <v>7</v>
      </c>
      <c r="D140" s="39">
        <v>1.2104600000000001</v>
      </c>
      <c r="E140" s="39">
        <v>75.048520000000011</v>
      </c>
      <c r="F140" s="39">
        <v>3.6359900000000001</v>
      </c>
      <c r="G140" s="39">
        <v>24.76</v>
      </c>
      <c r="H140" s="39">
        <v>10.563000000000001</v>
      </c>
      <c r="I140" s="39">
        <v>5.306</v>
      </c>
      <c r="J140" s="39">
        <v>2.7160000000000002</v>
      </c>
      <c r="K140" s="39">
        <v>3.15</v>
      </c>
      <c r="L140" s="39">
        <v>1.17</v>
      </c>
      <c r="M140" s="39">
        <v>15.8</v>
      </c>
    </row>
    <row r="141" spans="1:13" x14ac:dyDescent="0.35">
      <c r="A141">
        <v>152</v>
      </c>
      <c r="B141">
        <v>1</v>
      </c>
      <c r="C141">
        <v>7</v>
      </c>
      <c r="D141" s="39">
        <v>1.5665499999999999</v>
      </c>
      <c r="E141" s="39">
        <v>42.296849999999999</v>
      </c>
      <c r="F141" s="39">
        <v>8.1660000000000004</v>
      </c>
      <c r="G141" s="39">
        <v>26.3</v>
      </c>
      <c r="H141" s="39">
        <v>11.749000000000001</v>
      </c>
      <c r="I141" s="39">
        <v>5.2439999999999998</v>
      </c>
      <c r="J141" s="39">
        <v>3.4009999999999998</v>
      </c>
      <c r="K141" s="39">
        <v>3.69</v>
      </c>
      <c r="L141" s="39">
        <v>0.81</v>
      </c>
      <c r="M141" s="39">
        <v>14.3</v>
      </c>
    </row>
    <row r="142" spans="1:13" x14ac:dyDescent="0.35">
      <c r="A142">
        <v>153</v>
      </c>
      <c r="B142">
        <v>5</v>
      </c>
      <c r="C142">
        <v>7</v>
      </c>
      <c r="D142" s="39">
        <v>1.71692</v>
      </c>
      <c r="E142" s="39">
        <v>66.959879999999998</v>
      </c>
      <c r="F142" s="39">
        <v>6.19</v>
      </c>
      <c r="G142" s="39">
        <v>26.32</v>
      </c>
      <c r="H142" s="39">
        <v>9.7080000000000002</v>
      </c>
      <c r="I142" s="39">
        <v>3.9590000000000001</v>
      </c>
      <c r="J142" s="39">
        <v>3.1880000000000002</v>
      </c>
      <c r="K142" s="39">
        <v>3.24</v>
      </c>
      <c r="L142" s="39">
        <v>0.84</v>
      </c>
      <c r="M142" s="39">
        <v>13.4</v>
      </c>
    </row>
    <row r="143" spans="1:13" x14ac:dyDescent="0.35">
      <c r="A143">
        <v>154</v>
      </c>
      <c r="B143">
        <v>3</v>
      </c>
      <c r="C143">
        <v>7</v>
      </c>
      <c r="D143" s="39">
        <v>1.5995200000000001</v>
      </c>
      <c r="E143" s="39">
        <v>57.582720000000002</v>
      </c>
      <c r="F143" s="39">
        <v>6.8339500000000006</v>
      </c>
      <c r="G143" s="39">
        <v>24.06</v>
      </c>
      <c r="H143" s="39">
        <v>11.335000000000001</v>
      </c>
      <c r="I143" s="39">
        <v>5.9420000000000002</v>
      </c>
      <c r="J143" s="39">
        <v>4.1399999999999997</v>
      </c>
      <c r="K143" s="39">
        <v>4.1500000000000004</v>
      </c>
      <c r="L143" s="39">
        <v>0.97</v>
      </c>
      <c r="M143" s="39">
        <v>14.1</v>
      </c>
    </row>
    <row r="144" spans="1:13" x14ac:dyDescent="0.35">
      <c r="A144">
        <v>155</v>
      </c>
      <c r="B144">
        <v>3</v>
      </c>
      <c r="C144">
        <v>7</v>
      </c>
      <c r="D144" s="39">
        <v>1.6366500000000002</v>
      </c>
      <c r="E144" s="39">
        <v>52.372800000000005</v>
      </c>
      <c r="F144" s="39">
        <v>0.94599999999999995</v>
      </c>
      <c r="G144" s="39">
        <v>21.98</v>
      </c>
      <c r="H144" s="39">
        <v>12.615</v>
      </c>
      <c r="I144" s="39">
        <v>6.6859999999999999</v>
      </c>
      <c r="J144" s="39">
        <v>3.419</v>
      </c>
      <c r="K144" s="39">
        <v>2.52</v>
      </c>
      <c r="L144" s="39">
        <v>0.56999999999999995</v>
      </c>
      <c r="M144" s="39">
        <v>14.3</v>
      </c>
    </row>
    <row r="145" spans="1:13" x14ac:dyDescent="0.35">
      <c r="A145">
        <v>156</v>
      </c>
      <c r="B145">
        <v>9</v>
      </c>
      <c r="C145">
        <v>7</v>
      </c>
      <c r="D145" s="39">
        <v>1.11557</v>
      </c>
      <c r="E145" s="39">
        <v>52.431789999999999</v>
      </c>
      <c r="F145" s="39">
        <v>4.9669999999999996</v>
      </c>
      <c r="G145" s="39">
        <v>26.52</v>
      </c>
      <c r="H145" s="39">
        <v>10.260999999999999</v>
      </c>
      <c r="I145" s="39">
        <v>4.0659999999999998</v>
      </c>
      <c r="J145" s="39">
        <v>2.915</v>
      </c>
      <c r="K145" s="39">
        <v>3.52</v>
      </c>
      <c r="L145" s="39">
        <v>0.96</v>
      </c>
      <c r="M145" s="39">
        <v>12.9</v>
      </c>
    </row>
    <row r="146" spans="1:13" x14ac:dyDescent="0.35">
      <c r="A146">
        <v>157</v>
      </c>
      <c r="B146">
        <v>3</v>
      </c>
      <c r="C146">
        <v>7</v>
      </c>
      <c r="D146" s="39">
        <v>1.5644500000000001</v>
      </c>
      <c r="E146" s="39">
        <v>62.578000000000003</v>
      </c>
      <c r="F146" s="39">
        <v>14.011949999999999</v>
      </c>
      <c r="G146" s="39">
        <v>24.58</v>
      </c>
      <c r="H146" s="39">
        <v>10.143000000000001</v>
      </c>
      <c r="I146" s="39">
        <v>5.0350000000000001</v>
      </c>
      <c r="J146" s="39">
        <v>2.69</v>
      </c>
      <c r="K146" s="39">
        <v>4.01</v>
      </c>
      <c r="L146" s="39">
        <v>0.89</v>
      </c>
      <c r="M146" s="39">
        <v>14.5</v>
      </c>
    </row>
    <row r="147" spans="1:13" x14ac:dyDescent="0.35">
      <c r="A147">
        <v>158</v>
      </c>
      <c r="B147">
        <v>7</v>
      </c>
      <c r="C147">
        <v>7</v>
      </c>
      <c r="D147" s="39">
        <v>1.2267600000000001</v>
      </c>
      <c r="E147" s="39">
        <v>63.791520000000006</v>
      </c>
      <c r="F147" s="39">
        <v>3.56</v>
      </c>
      <c r="G147" s="39">
        <v>23.02</v>
      </c>
      <c r="H147" s="39">
        <v>12.038</v>
      </c>
      <c r="I147" s="39">
        <v>6.556</v>
      </c>
      <c r="J147" s="39">
        <v>2.7440000000000002</v>
      </c>
      <c r="K147" s="39">
        <v>3.79</v>
      </c>
      <c r="L147" s="39">
        <v>0.93</v>
      </c>
      <c r="M147" s="39">
        <v>13.4</v>
      </c>
    </row>
    <row r="148" spans="1:13" x14ac:dyDescent="0.35">
      <c r="A148">
        <v>159</v>
      </c>
      <c r="B148">
        <v>8</v>
      </c>
      <c r="C148">
        <v>7</v>
      </c>
      <c r="D148" s="39">
        <v>1.1988599999999998</v>
      </c>
      <c r="E148" s="39">
        <v>69.533879999999982</v>
      </c>
      <c r="F148" s="39">
        <v>13.068996</v>
      </c>
      <c r="G148" s="39">
        <v>23.96</v>
      </c>
      <c r="H148" s="39">
        <v>10.874000000000001</v>
      </c>
      <c r="I148" s="39">
        <v>5.6360000000000001</v>
      </c>
      <c r="J148" s="39">
        <v>2.65</v>
      </c>
      <c r="K148" s="39">
        <v>3.45</v>
      </c>
      <c r="L148" s="39">
        <v>0.67</v>
      </c>
      <c r="M148" s="39">
        <v>13</v>
      </c>
    </row>
    <row r="149" spans="1:13" x14ac:dyDescent="0.35">
      <c r="A149">
        <v>160</v>
      </c>
      <c r="B149">
        <v>9</v>
      </c>
      <c r="C149">
        <v>7</v>
      </c>
      <c r="D149" s="39">
        <v>1.2016800000000001</v>
      </c>
      <c r="E149" s="39">
        <v>54.075600000000001</v>
      </c>
      <c r="F149" s="39">
        <v>2.5110000000000001</v>
      </c>
      <c r="G149" s="39">
        <v>25.96</v>
      </c>
      <c r="H149" s="39">
        <v>10.558999999999999</v>
      </c>
      <c r="I149" s="39">
        <v>5.4790000000000001</v>
      </c>
      <c r="J149" s="39">
        <v>2.7069999999999999</v>
      </c>
      <c r="K149" s="39">
        <v>2.74</v>
      </c>
      <c r="L149" s="39">
        <v>0.82</v>
      </c>
      <c r="M149" s="39">
        <v>14.8</v>
      </c>
    </row>
    <row r="150" spans="1:13" x14ac:dyDescent="0.35">
      <c r="A150">
        <v>161</v>
      </c>
      <c r="B150">
        <v>4</v>
      </c>
      <c r="C150">
        <v>7</v>
      </c>
      <c r="D150" s="39">
        <v>1.26369</v>
      </c>
      <c r="E150" s="39">
        <v>53.074979999999996</v>
      </c>
      <c r="F150" s="39">
        <v>10.233000000000001</v>
      </c>
      <c r="G150" s="39">
        <v>25.3</v>
      </c>
      <c r="H150" s="39">
        <v>11.188000000000001</v>
      </c>
      <c r="I150" s="39">
        <v>5.0839999999999996</v>
      </c>
      <c r="J150" s="39">
        <v>2.7370000000000001</v>
      </c>
      <c r="K150" s="39">
        <v>2.78</v>
      </c>
      <c r="L150" s="39">
        <v>0.79</v>
      </c>
      <c r="M150" s="39">
        <v>11</v>
      </c>
    </row>
    <row r="151" spans="1:13" x14ac:dyDescent="0.35">
      <c r="A151">
        <v>162</v>
      </c>
      <c r="B151">
        <v>7</v>
      </c>
      <c r="C151">
        <v>7</v>
      </c>
      <c r="D151" s="39">
        <v>1.4936500000000001</v>
      </c>
      <c r="E151" s="39">
        <v>43.315850000000005</v>
      </c>
      <c r="F151" s="39">
        <v>9.33</v>
      </c>
      <c r="G151" s="39">
        <v>26.33</v>
      </c>
      <c r="H151" s="39">
        <v>11.606999999999999</v>
      </c>
      <c r="I151" s="39">
        <v>6.4539999999999997</v>
      </c>
      <c r="J151" s="39">
        <v>2.6970000000000001</v>
      </c>
      <c r="K151" s="39">
        <v>3.83</v>
      </c>
      <c r="L151" s="39">
        <v>0.84</v>
      </c>
      <c r="M151" s="39">
        <v>13.3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Metadados</vt:lpstr>
      <vt:lpstr>15_Selecionados</vt:lpstr>
      <vt:lpstr>Médias_IND_artigo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</dc:creator>
  <cp:lastModifiedBy>Weverton Gomes</cp:lastModifiedBy>
  <dcterms:created xsi:type="dcterms:W3CDTF">2026-03-12T12:23:23Z</dcterms:created>
  <dcterms:modified xsi:type="dcterms:W3CDTF">2026-08-11T23:24:50Z</dcterms:modified>
</cp:coreProperties>
</file>